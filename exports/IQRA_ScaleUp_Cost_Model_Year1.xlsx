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Team" sheetId="3" state="visible" r:id="rId3"/>
    <sheet name="CTO Rate" sheetId="4" state="visible" r:id="rId4"/>
    <sheet name="AI &amp; LLM" sheetId="5" state="visible" r:id="rId5"/>
    <sheet name="Knowledge" sheetId="6" state="visible" r:id="rId6"/>
    <sheet name="Infrastructure" sheetId="7" state="visible" r:id="rId7"/>
    <sheet name="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00"/>
    <numFmt numFmtId="166" formatCode="&quot;$&quot;#,##0"/>
    <numFmt numFmtId="167" formatCode="&quot;৳&quot;#,##0"/>
  </numFmts>
  <fonts count="12">
    <font>
      <name val="Calibri"/>
      <family val="2"/>
      <color theme="1"/>
      <sz val="11"/>
      <scheme val="minor"/>
    </font>
    <font>
      <b val="1"/>
      <color rgb="00103D2B"/>
      <sz val="16"/>
    </font>
    <font>
      <i val="1"/>
      <color rgb="001F2A24"/>
    </font>
    <font>
      <b val="1"/>
      <color rgb="00FFFFFF"/>
    </font>
    <font>
      <b val="1"/>
      <color rgb="00FFFFFF"/>
      <sz val="11"/>
    </font>
    <font>
      <b val="1"/>
      <color rgb="001F2A24"/>
    </font>
    <font>
      <i val="1"/>
      <color rgb="006B6455"/>
    </font>
    <font>
      <b val="1"/>
      <color rgb="001F2A24"/>
      <sz val="12"/>
    </font>
    <font>
      <b val="1"/>
      <color rgb="00103D2B"/>
    </font>
    <font>
      <b val="1"/>
      <color rgb="00103D2B"/>
      <sz val="18"/>
    </font>
    <font>
      <b val="1"/>
      <color rgb="00103D2B"/>
      <sz val="20"/>
    </font>
    <font>
      <color rgb="001F2A24"/>
      <sz val="12"/>
    </font>
  </fonts>
  <fills count="6">
    <fill>
      <patternFill/>
    </fill>
    <fill>
      <patternFill patternType="gray125"/>
    </fill>
    <fill>
      <patternFill patternType="solid">
        <fgColor rgb="00103D2B"/>
      </patternFill>
    </fill>
    <fill>
      <patternFill patternType="solid">
        <fgColor rgb="001C5A40"/>
      </patternFill>
    </fill>
    <fill>
      <patternFill patternType="solid">
        <fgColor rgb="00F5F1E6"/>
      </patternFill>
    </fill>
    <fill>
      <patternFill patternType="solid">
        <fgColor rgb="00C9A24B"/>
      </patternFill>
    </fill>
  </fills>
  <borders count="2">
    <border>
      <left/>
      <right/>
      <top/>
      <bottom/>
      <diagonal/>
    </border>
    <border>
      <left style="thin">
        <color rgb="00D8D0BC"/>
      </left>
      <right style="thin">
        <color rgb="00D8D0BC"/>
      </right>
      <top style="thin">
        <color rgb="00D8D0BC"/>
      </top>
      <bottom style="thin">
        <color rgb="00D8D0B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5" borderId="0" pivotButton="0" quotePrefix="0" xfId="0"/>
    <xf numFmtId="167" fontId="10" fillId="0" borderId="0" pivotButton="0" quotePrefix="0" xfId="0"/>
    <xf numFmtId="166" fontId="11" fillId="0" borderId="0" pivotButton="0" quotePrefix="0" xfId="0"/>
    <xf numFmtId="164" fontId="11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9" fontId="0" fillId="0" borderId="1" pivotButton="0" quotePrefix="0" xfId="0"/>
    <xf numFmtId="0" fontId="5" fillId="5" borderId="1" pivotButton="0" quotePrefix="0" xfId="0"/>
    <xf numFmtId="166" fontId="5" fillId="5" borderId="1" pivotButton="0" quotePrefix="0" xfId="0"/>
    <xf numFmtId="167" fontId="5" fillId="5" borderId="1" pivotButton="0" quotePrefix="0" xfId="0"/>
    <xf numFmtId="9" fontId="5" fillId="5" borderId="1" pivotButton="0" quotePrefix="0" xfId="0"/>
    <xf numFmtId="3" fontId="0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3" fontId="5" fillId="4" borderId="1" pivotButton="0" quotePrefix="0" xfId="0"/>
    <xf numFmtId="0" fontId="6" fillId="0" borderId="1" pivotButton="0" quotePrefix="0" xfId="0"/>
    <xf numFmtId="9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4" fontId="5" fillId="4" borderId="1" pivotButton="0" quotePrefix="0" xfId="0"/>
    <xf numFmtId="3" fontId="0" fillId="0" borderId="1" pivotButton="0" quotePrefix="0" xfId="0"/>
    <xf numFmtId="3" fontId="5" fillId="5" borderId="1" pivotButton="0" quotePrefix="0" xfId="0"/>
    <xf numFmtId="167" fontId="0" fillId="4" borderId="1" pivotButton="0" quotePrefix="0" xfId="0"/>
    <xf numFmtId="0" fontId="5" fillId="0" borderId="1" pivotButton="0" quotePrefix="0" xfId="0"/>
    <xf numFmtId="167" fontId="7" fillId="5" borderId="1" pivotButton="0" quotePrefix="0" xfId="0"/>
    <xf numFmtId="164" fontId="0" fillId="4" borderId="1" pivotButton="0" quotePrefix="0" xfId="0"/>
    <xf numFmtId="164" fontId="7" fillId="5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6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IQRA Assistant — Year-1 Scale-Up Budget</t>
        </is>
      </c>
    </row>
    <row r="2">
      <c r="A2" s="2" t="inlineStr">
        <is>
          <t>Prepared by the CTO for the founder · Target: 1,000,000+ users &amp; 100,000 books · Currency: BDT (USD shown)</t>
        </is>
      </c>
    </row>
    <row r="4">
      <c r="A4" s="3" t="inlineStr">
        <is>
          <t>Year-1 total (with user ramp)</t>
        </is>
      </c>
      <c r="C4" s="3" t="inlineStr">
        <is>
          <t>Steady-state annual run-rate (full 1M)</t>
        </is>
      </c>
      <c r="E4" s="4" t="inlineStr">
        <is>
          <t>CTO cost per hour (fully-loaded)</t>
        </is>
      </c>
    </row>
    <row r="5">
      <c r="A5" s="5">
        <f>Timeline!I15*Assumptions!B5</f>
        <v/>
      </c>
      <c r="C5" s="5">
        <f>(Team!G13+'AI &amp; LLM'!B9+Infrastructure!C10+Knowledge!B7)*Assumptions!B5</f>
        <v/>
      </c>
      <c r="E5" s="5">
        <f>'CTO Rate'!B9</f>
        <v/>
      </c>
    </row>
    <row r="6">
      <c r="A6" s="6">
        <f>Timeline!I15</f>
        <v/>
      </c>
      <c r="C6" s="6">
        <f>(Team!G13+'AI &amp; LLM'!B9+Infrastructure!C10+Knowledge!B7)</f>
        <v/>
      </c>
      <c r="E6" s="7">
        <f>'CTO Rate'!B9/Assumptions!B5</f>
        <v/>
      </c>
    </row>
    <row r="8">
      <c r="A8" s="8" t="inlineStr">
        <is>
          <t>Annual cost by category (steady-state run-rate)</t>
        </is>
      </c>
    </row>
    <row r="9">
      <c r="A9" s="9" t="inlineStr">
        <is>
          <t>Category</t>
        </is>
      </c>
      <c r="B9" s="9" t="inlineStr">
        <is>
          <t>Annual (USD)</t>
        </is>
      </c>
      <c r="C9" s="9" t="inlineStr">
        <is>
          <t>Annual (BDT)</t>
        </is>
      </c>
      <c r="D9" s="9" t="inlineStr">
        <is>
          <t>% of total</t>
        </is>
      </c>
    </row>
    <row r="10">
      <c r="A10" s="10" t="inlineStr">
        <is>
          <t>Team &amp; salaries</t>
        </is>
      </c>
      <c r="B10" s="11">
        <f>Team!G13</f>
        <v/>
      </c>
      <c r="C10" s="12">
        <f>B10*Assumptions!B5</f>
        <v/>
      </c>
      <c r="D10" s="13">
        <f>B10/(Team!G13+'AI &amp; LLM'!B9+Infrastructure!C10+Knowledge!B7)</f>
        <v/>
      </c>
    </row>
    <row r="11">
      <c r="A11" s="10" t="inlineStr">
        <is>
          <t>AI / LLM (Claude)</t>
        </is>
      </c>
      <c r="B11" s="11">
        <f>'AI &amp; LLM'!B9</f>
        <v/>
      </c>
      <c r="C11" s="12">
        <f>B11*Assumptions!B5</f>
        <v/>
      </c>
      <c r="D11" s="13">
        <f>B11/(Team!G13+'AI &amp; LLM'!B9+Infrastructure!C10+Knowledge!B7)</f>
        <v/>
      </c>
    </row>
    <row r="12">
      <c r="A12" s="10" t="inlineStr">
        <is>
          <t>Infrastructure</t>
        </is>
      </c>
      <c r="B12" s="11">
        <f>Infrastructure!C10</f>
        <v/>
      </c>
      <c r="C12" s="12">
        <f>B12*Assumptions!B5</f>
        <v/>
      </c>
      <c r="D12" s="13">
        <f>B12/(Team!G13+'AI &amp; LLM'!B9+Infrastructure!C10+Knowledge!B7)</f>
        <v/>
      </c>
    </row>
    <row r="13">
      <c r="A13" s="10" t="inlineStr">
        <is>
          <t>Knowledge (storage)</t>
        </is>
      </c>
      <c r="B13" s="11">
        <f>Knowledge!B7</f>
        <v/>
      </c>
      <c r="C13" s="12">
        <f>B13*Assumptions!B5</f>
        <v/>
      </c>
      <c r="D13" s="13">
        <f>B13/(Team!G13+'AI &amp; LLM'!B9+Infrastructure!C10+Knowledge!B7)</f>
        <v/>
      </c>
    </row>
    <row r="14">
      <c r="A14" s="14" t="inlineStr">
        <is>
          <t>TOTAL run-rate</t>
        </is>
      </c>
      <c r="B14" s="15">
        <f>SUM(B10:B13)</f>
        <v/>
      </c>
      <c r="C14" s="16">
        <f>SUM(C10:C13)</f>
        <v/>
      </c>
      <c r="D14" s="17">
        <f>SUM(D10:D13)</f>
        <v/>
      </c>
    </row>
    <row r="16">
      <c r="A16" s="8" t="inlineStr">
        <is>
          <t>Key metrics</t>
        </is>
      </c>
    </row>
    <row r="17">
      <c r="A17" s="10" t="inlineStr">
        <is>
          <t>Registered users (target)</t>
        </is>
      </c>
      <c r="B17" s="18">
        <f>Assumptions!B7</f>
        <v/>
      </c>
    </row>
    <row r="18">
      <c r="A18" s="10" t="inlineStr">
        <is>
          <t>Monthly active users</t>
        </is>
      </c>
      <c r="B18" s="18">
        <f>'AI &amp; LLM'!B4</f>
        <v/>
      </c>
    </row>
    <row r="19">
      <c r="A19" s="10" t="inlineStr">
        <is>
          <t>Chat queries per year</t>
        </is>
      </c>
      <c r="B19" s="18">
        <f>'AI &amp; LLM'!B6</f>
        <v/>
      </c>
    </row>
    <row r="20">
      <c r="A20" s="10" t="inlineStr">
        <is>
          <t>Books integrated</t>
        </is>
      </c>
      <c r="B20" s="18">
        <f>Assumptions!B16</f>
        <v/>
      </c>
    </row>
    <row r="21">
      <c r="A21" s="10" t="inlineStr">
        <is>
          <t>Knowledge storage (GB)</t>
        </is>
      </c>
      <c r="B21" s="18">
        <f>Knowledge!B4</f>
        <v/>
      </c>
    </row>
    <row r="22">
      <c r="A22" s="10" t="inlineStr">
        <is>
          <t>Total headcount</t>
        </is>
      </c>
      <c r="B22" s="18">
        <f>Team!C13</f>
        <v/>
      </c>
    </row>
    <row r="24">
      <c r="A24" s="19" t="inlineStr">
        <is>
          <t>• How to read this: 'Year-1 total' assumes users ramp up over 12 months (realistic first-year spend).</t>
        </is>
      </c>
    </row>
    <row r="25">
      <c r="A25" s="19" t="inlineStr">
        <is>
          <t>• 'Steady-state run-rate' is the annual cost once you are actually at the full 1,000,000-user scale.</t>
        </is>
      </c>
    </row>
    <row r="26">
      <c r="A26" s="19" t="inlineStr">
        <is>
          <t>• Every figure is driven by the Assumptions sheet — change an input there and all totals recompute.</t>
        </is>
      </c>
    </row>
    <row r="27">
      <c r="A27" s="19" t="inlineStr">
        <is>
          <t>• Biggest cost driver is AI/LLM at scale; see the AI &amp; LLM sheet for levers to reduce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40" customWidth="1" min="3" max="3"/>
  </cols>
  <sheetData>
    <row r="1">
      <c r="A1" s="20" t="inlineStr">
        <is>
          <t>IQRA Assistant — Year-1 Scale-Up Cost Model</t>
        </is>
      </c>
    </row>
    <row r="2">
      <c r="A2" s="2" t="inlineStr">
        <is>
          <t>Every input below is editable. Totals on all other sheets update automatically.</t>
        </is>
      </c>
    </row>
    <row r="3">
      <c r="A3" s="9" t="inlineStr">
        <is>
          <t>Parameter</t>
        </is>
      </c>
      <c r="B3" s="9" t="inlineStr">
        <is>
          <t>Value</t>
        </is>
      </c>
      <c r="C3" s="9" t="inlineStr">
        <is>
          <t>Unit / Note</t>
        </is>
      </c>
    </row>
    <row r="4">
      <c r="A4" s="21" t="inlineStr">
        <is>
          <t>General</t>
        </is>
      </c>
      <c r="B4" s="22" t="n"/>
      <c r="C4" s="22" t="n"/>
    </row>
    <row r="5">
      <c r="A5" s="10" t="inlineStr">
        <is>
          <t>USD → BDT exchange rate</t>
        </is>
      </c>
      <c r="B5" s="23" t="n">
        <v>120</v>
      </c>
      <c r="C5" s="24" t="inlineStr">
        <is>
          <t>BDT per 1 USD</t>
        </is>
      </c>
    </row>
    <row r="6">
      <c r="A6" s="21" t="inlineStr">
        <is>
          <t>Users &amp; Usage (Year-1 target)</t>
        </is>
      </c>
      <c r="B6" s="22" t="n"/>
      <c r="C6" s="22" t="n"/>
    </row>
    <row r="7">
      <c r="A7" s="10" t="inlineStr">
        <is>
          <t>Registered users (target)</t>
        </is>
      </c>
      <c r="B7" s="23" t="n">
        <v>1000000</v>
      </c>
      <c r="C7" s="24" t="inlineStr">
        <is>
          <t>users</t>
        </is>
      </c>
    </row>
    <row r="8">
      <c r="A8" s="10" t="inlineStr">
        <is>
          <t>Monthly active users (% of registered)</t>
        </is>
      </c>
      <c r="B8" s="25" t="n">
        <v>0.2</v>
      </c>
      <c r="C8" s="24" t="inlineStr">
        <is>
          <t>% actually chatting each month</t>
        </is>
      </c>
    </row>
    <row r="9">
      <c r="A9" s="10" t="inlineStr">
        <is>
          <t>Avg chat queries per active user / month</t>
        </is>
      </c>
      <c r="B9" s="23" t="n">
        <v>15</v>
      </c>
      <c r="C9" s="24" t="inlineStr">
        <is>
          <t>queries / month</t>
        </is>
      </c>
    </row>
    <row r="10">
      <c r="A10" s="21" t="inlineStr">
        <is>
          <t>AI / LLM (Claude, per query)</t>
        </is>
      </c>
      <c r="B10" s="22" t="n"/>
      <c r="C10" s="22" t="n"/>
    </row>
    <row r="11">
      <c r="A11" s="10" t="inlineStr">
        <is>
          <t>Input tokens per query (prompt + retrieved context)</t>
        </is>
      </c>
      <c r="B11" s="23" t="n">
        <v>4000</v>
      </c>
      <c r="C11" s="24" t="inlineStr">
        <is>
          <t>tokens</t>
        </is>
      </c>
    </row>
    <row r="12">
      <c r="A12" s="10" t="inlineStr">
        <is>
          <t>Output tokens per query (the answer)</t>
        </is>
      </c>
      <c r="B12" s="23" t="n">
        <v>700</v>
      </c>
      <c r="C12" s="24" t="inlineStr">
        <is>
          <t>tokens</t>
        </is>
      </c>
    </row>
    <row r="13">
      <c r="A13" s="10" t="inlineStr">
        <is>
          <t>LLM input price</t>
        </is>
      </c>
      <c r="B13" s="26" t="n">
        <v>3</v>
      </c>
      <c r="C13" s="24" t="inlineStr">
        <is>
          <t>USD per 1,000,000 tokens</t>
        </is>
      </c>
    </row>
    <row r="14">
      <c r="A14" s="10" t="inlineStr">
        <is>
          <t>LLM output price</t>
        </is>
      </c>
      <c r="B14" s="26" t="n">
        <v>15</v>
      </c>
      <c r="C14" s="24" t="inlineStr">
        <is>
          <t>USD per 1,000,000 tokens</t>
        </is>
      </c>
    </row>
    <row r="15">
      <c r="A15" s="21" t="inlineStr">
        <is>
          <t>Knowledge base (100,000 books)</t>
        </is>
      </c>
      <c r="B15" s="22" t="n"/>
      <c r="C15" s="22" t="n"/>
    </row>
    <row r="16">
      <c r="A16" s="10" t="inlineStr">
        <is>
          <t>Books to integrate</t>
        </is>
      </c>
      <c r="B16" s="23" t="n">
        <v>100000</v>
      </c>
      <c r="C16" s="24" t="inlineStr">
        <is>
          <t>books</t>
        </is>
      </c>
    </row>
    <row r="17">
      <c r="A17" s="10" t="inlineStr">
        <is>
          <t>Average file size per book</t>
        </is>
      </c>
      <c r="B17" s="23" t="n">
        <v>10</v>
      </c>
      <c r="C17" s="24" t="inlineStr">
        <is>
          <t>MB</t>
        </is>
      </c>
    </row>
    <row r="18">
      <c r="A18" s="10" t="inlineStr">
        <is>
          <t>Search chunks generated per book</t>
        </is>
      </c>
      <c r="B18" s="23" t="n">
        <v>137</v>
      </c>
      <c r="C18" s="24" t="inlineStr">
        <is>
          <t>chunks (drives DB size)</t>
        </is>
      </c>
    </row>
    <row r="19">
      <c r="A19" s="10" t="inlineStr">
        <is>
          <t>Object-storage price</t>
        </is>
      </c>
      <c r="B19" s="27" t="n">
        <v>0.02</v>
      </c>
      <c r="C19" s="24" t="inlineStr">
        <is>
          <t>USD per GB / month</t>
        </is>
      </c>
    </row>
    <row r="20">
      <c r="A20" s="10" t="inlineStr">
        <is>
          <t>One-time ingestion compute (extract + chunk 100k books)</t>
        </is>
      </c>
      <c r="B20" s="28" t="n">
        <v>4000</v>
      </c>
      <c r="C20" s="24" t="inlineStr">
        <is>
          <t>USD (one-time, month 1)</t>
        </is>
      </c>
    </row>
    <row r="21">
      <c r="A21" s="21" t="inlineStr">
        <is>
          <t>Team basis (Bangladesh)</t>
        </is>
      </c>
      <c r="B21" s="22" t="n"/>
      <c r="C21" s="22" t="n"/>
    </row>
    <row r="22">
      <c r="A22" s="10" t="inlineStr">
        <is>
          <t>Working days per month</t>
        </is>
      </c>
      <c r="B22" s="23" t="n">
        <v>22</v>
      </c>
      <c r="C22" s="24" t="inlineStr">
        <is>
          <t>days</t>
        </is>
      </c>
    </row>
    <row r="23">
      <c r="A23" s="10" t="inlineStr">
        <is>
          <t>Working hours per day</t>
        </is>
      </c>
      <c r="B23" s="23" t="n">
        <v>8</v>
      </c>
      <c r="C23" s="24" t="inlineStr">
        <is>
          <t>hours</t>
        </is>
      </c>
    </row>
    <row r="24">
      <c r="A24" s="10" t="inlineStr">
        <is>
          <t>Employer overhead multiplier (benefits, tax, equipment, office)</t>
        </is>
      </c>
      <c r="B24" s="29" t="n">
        <v>1.2</v>
      </c>
      <c r="C24" s="24" t="inlineStr">
        <is>
          <t>× base salary</t>
        </is>
      </c>
    </row>
    <row r="25">
      <c r="A25" s="21" t="inlineStr">
        <is>
          <t>Infrastructure (monthly, USD)</t>
        </is>
      </c>
      <c r="B25" s="22" t="n"/>
      <c r="C25" s="22" t="n"/>
    </row>
    <row r="26">
      <c r="A26" s="10" t="inlineStr">
        <is>
          <t>App servers / hosting (autoscale for 1M users)</t>
        </is>
      </c>
      <c r="B26" s="28" t="n">
        <v>2000</v>
      </c>
      <c r="C26" s="24" t="inlineStr">
        <is>
          <t>USD / month</t>
        </is>
      </c>
    </row>
    <row r="27">
      <c r="A27" s="10" t="inlineStr">
        <is>
          <t>Managed PostgreSQL (scaled; FTS over ~13.7M chunks)</t>
        </is>
      </c>
      <c r="B27" s="28" t="n">
        <v>1500</v>
      </c>
      <c r="C27" s="24" t="inlineStr">
        <is>
          <t>USD / month</t>
        </is>
      </c>
    </row>
    <row r="28">
      <c r="A28" s="10" t="inlineStr">
        <is>
          <t>Bandwidth / CDN</t>
        </is>
      </c>
      <c r="B28" s="28" t="n">
        <v>300</v>
      </c>
      <c r="C28" s="24" t="inlineStr">
        <is>
          <t>USD / month</t>
        </is>
      </c>
    </row>
    <row r="29">
      <c r="A29" s="10" t="inlineStr">
        <is>
          <t>Transactional email (Resend)</t>
        </is>
      </c>
      <c r="B29" s="28" t="n">
        <v>200</v>
      </c>
      <c r="C29" s="24" t="inlineStr">
        <is>
          <t>USD / month</t>
        </is>
      </c>
    </row>
    <row r="30">
      <c r="A30" s="10" t="inlineStr">
        <is>
          <t>Monitoring / logging / error tracking</t>
        </is>
      </c>
      <c r="B30" s="28" t="n">
        <v>200</v>
      </c>
      <c r="C30" s="24" t="inlineStr">
        <is>
          <t>USD / month</t>
        </is>
      </c>
    </row>
    <row r="31">
      <c r="A31" s="10" t="inlineStr">
        <is>
          <t>Domain, SSL, misc SaaS</t>
        </is>
      </c>
      <c r="B31" s="28" t="n">
        <v>50</v>
      </c>
      <c r="C31" s="24" t="inlineStr">
        <is>
          <t>USD /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0" t="inlineStr">
        <is>
          <t>Team &amp; Salaries (Bangladesh)</t>
        </is>
      </c>
    </row>
    <row r="2">
      <c r="A2" s="2" t="inlineStr">
        <is>
          <t>Salaries in BDT / month. Annual loaded cost includes the employer overhead multiplier from Assumptions.</t>
        </is>
      </c>
    </row>
    <row r="3">
      <c r="A3" s="9" t="inlineStr">
        <is>
          <t>Role</t>
        </is>
      </c>
      <c r="B3" s="9" t="inlineStr">
        <is>
          <t>Monthly salary (BDT)</t>
        </is>
      </c>
      <c r="C3" s="9" t="inlineStr">
        <is>
          <t>Count</t>
        </is>
      </c>
      <c r="D3" s="9" t="inlineStr">
        <is>
          <t>Monthly total (BDT)</t>
        </is>
      </c>
      <c r="E3" s="9" t="inlineStr">
        <is>
          <t>Annual base (BDT)</t>
        </is>
      </c>
      <c r="F3" s="9" t="inlineStr">
        <is>
          <t>Annual loaded (BDT)</t>
        </is>
      </c>
      <c r="G3" s="9" t="inlineStr">
        <is>
          <t>Annual loaded (USD)</t>
        </is>
      </c>
    </row>
    <row r="4">
      <c r="A4" s="10" t="inlineStr">
        <is>
          <t>Chief Technology Officer (you)</t>
        </is>
      </c>
      <c r="B4" s="12" t="n">
        <v>400000</v>
      </c>
      <c r="C4" s="30" t="n">
        <v>1</v>
      </c>
      <c r="D4" s="12">
        <f>B4*C4</f>
        <v/>
      </c>
      <c r="E4" s="12">
        <f>D4*12</f>
        <v/>
      </c>
      <c r="F4" s="12">
        <f>E4*Assumptions!B24</f>
        <v/>
      </c>
      <c r="G4" s="11">
        <f>F4/Assumptions!B5</f>
        <v/>
      </c>
    </row>
    <row r="5">
      <c r="A5" s="10" t="inlineStr">
        <is>
          <t>Senior Backend Engineer</t>
        </is>
      </c>
      <c r="B5" s="12" t="n">
        <v>180000</v>
      </c>
      <c r="C5" s="30" t="n">
        <v>2</v>
      </c>
      <c r="D5" s="12">
        <f>B5*C5</f>
        <v/>
      </c>
      <c r="E5" s="12">
        <f>D5*12</f>
        <v/>
      </c>
      <c r="F5" s="12">
        <f>E5*Assumptions!B24</f>
        <v/>
      </c>
      <c r="G5" s="11">
        <f>F5/Assumptions!B5</f>
        <v/>
      </c>
    </row>
    <row r="6">
      <c r="A6" s="10" t="inlineStr">
        <is>
          <t>Frontend Engineer</t>
        </is>
      </c>
      <c r="B6" s="12" t="n">
        <v>160000</v>
      </c>
      <c r="C6" s="30" t="n">
        <v>2</v>
      </c>
      <c r="D6" s="12">
        <f>B6*C6</f>
        <v/>
      </c>
      <c r="E6" s="12">
        <f>D6*12</f>
        <v/>
      </c>
      <c r="F6" s="12">
        <f>E6*Assumptions!B24</f>
        <v/>
      </c>
      <c r="G6" s="11">
        <f>F6/Assumptions!B5</f>
        <v/>
      </c>
    </row>
    <row r="7">
      <c r="A7" s="10" t="inlineStr">
        <is>
          <t>DevOps / SRE Engineer</t>
        </is>
      </c>
      <c r="B7" s="12" t="n">
        <v>200000</v>
      </c>
      <c r="C7" s="30" t="n">
        <v>1</v>
      </c>
      <c r="D7" s="12">
        <f>B7*C7</f>
        <v/>
      </c>
      <c r="E7" s="12">
        <f>D7*12</f>
        <v/>
      </c>
      <c r="F7" s="12">
        <f>E7*Assumptions!B24</f>
        <v/>
      </c>
      <c r="G7" s="11">
        <f>F7/Assumptions!B5</f>
        <v/>
      </c>
    </row>
    <row r="8">
      <c r="A8" s="10" t="inlineStr">
        <is>
          <t>QA Engineer</t>
        </is>
      </c>
      <c r="B8" s="12" t="n">
        <v>120000</v>
      </c>
      <c r="C8" s="30" t="n">
        <v>1</v>
      </c>
      <c r="D8" s="12">
        <f>B8*C8</f>
        <v/>
      </c>
      <c r="E8" s="12">
        <f>D8*12</f>
        <v/>
      </c>
      <c r="F8" s="12">
        <f>E8*Assumptions!B24</f>
        <v/>
      </c>
      <c r="G8" s="11">
        <f>F8/Assumptions!B5</f>
        <v/>
      </c>
    </row>
    <row r="9">
      <c r="A9" s="10" t="inlineStr">
        <is>
          <t>Knowledge-Ops Lead</t>
        </is>
      </c>
      <c r="B9" s="12" t="n">
        <v>150000</v>
      </c>
      <c r="C9" s="30" t="n">
        <v>1</v>
      </c>
      <c r="D9" s="12">
        <f>B9*C9</f>
        <v/>
      </c>
      <c r="E9" s="12">
        <f>D9*12</f>
        <v/>
      </c>
      <c r="F9" s="12">
        <f>E9*Assumptions!B24</f>
        <v/>
      </c>
      <c r="G9" s="11">
        <f>F9/Assumptions!B5</f>
        <v/>
      </c>
    </row>
    <row r="10">
      <c r="A10" s="10" t="inlineStr">
        <is>
          <t>Content Specialist (book curation)</t>
        </is>
      </c>
      <c r="B10" s="12" t="n">
        <v>60000</v>
      </c>
      <c r="C10" s="30" t="n">
        <v>3</v>
      </c>
      <c r="D10" s="12">
        <f>B10*C10</f>
        <v/>
      </c>
      <c r="E10" s="12">
        <f>D10*12</f>
        <v/>
      </c>
      <c r="F10" s="12">
        <f>E10*Assumptions!B24</f>
        <v/>
      </c>
      <c r="G10" s="11">
        <f>F10/Assumptions!B5</f>
        <v/>
      </c>
    </row>
    <row r="11">
      <c r="A11" s="10" t="inlineStr">
        <is>
          <t>Community / Support</t>
        </is>
      </c>
      <c r="B11" s="12" t="n">
        <v>80000</v>
      </c>
      <c r="C11" s="30" t="n">
        <v>1</v>
      </c>
      <c r="D11" s="12">
        <f>B11*C11</f>
        <v/>
      </c>
      <c r="E11" s="12">
        <f>D11*12</f>
        <v/>
      </c>
      <c r="F11" s="12">
        <f>E11*Assumptions!B24</f>
        <v/>
      </c>
      <c r="G11" s="11">
        <f>F11/Assumptions!B5</f>
        <v/>
      </c>
    </row>
    <row r="12">
      <c r="A12" s="10" t="inlineStr">
        <is>
          <t>Product Manager</t>
        </is>
      </c>
      <c r="B12" s="12" t="n">
        <v>150000</v>
      </c>
      <c r="C12" s="30" t="n">
        <v>1</v>
      </c>
      <c r="D12" s="12">
        <f>B12*C12</f>
        <v/>
      </c>
      <c r="E12" s="12">
        <f>D12*12</f>
        <v/>
      </c>
      <c r="F12" s="12">
        <f>E12*Assumptions!B24</f>
        <v/>
      </c>
      <c r="G12" s="11">
        <f>F12/Assumptions!B5</f>
        <v/>
      </c>
    </row>
    <row r="13">
      <c r="A13" s="14" t="inlineStr">
        <is>
          <t>TOTAL</t>
        </is>
      </c>
      <c r="B13" s="14" t="n"/>
      <c r="C13" s="31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5">
        <f>SUM(G4:G12)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</cols>
  <sheetData>
    <row r="1">
      <c r="A1" s="20" t="inlineStr">
        <is>
          <t>CTO Cost per Hour</t>
        </is>
      </c>
    </row>
    <row r="2">
      <c r="A2" s="2" t="inlineStr">
        <is>
          <t>Fully-loaded = salary × employer overhead. This is the true cost to the venture per CTO hour.</t>
        </is>
      </c>
    </row>
    <row r="4">
      <c r="A4" s="10" t="inlineStr">
        <is>
          <t>CTO monthly salary (BDT)</t>
        </is>
      </c>
      <c r="B4" s="32">
        <f>Team!B4</f>
        <v/>
      </c>
    </row>
    <row r="5">
      <c r="A5" s="10" t="inlineStr">
        <is>
          <t>Working days per month</t>
        </is>
      </c>
      <c r="B5" s="18">
        <f>Assumptions!B22</f>
        <v/>
      </c>
    </row>
    <row r="6">
      <c r="A6" s="10" t="inlineStr">
        <is>
          <t>Working hours per day</t>
        </is>
      </c>
      <c r="B6" s="18">
        <f>Assumptions!B23</f>
        <v/>
      </c>
    </row>
    <row r="7">
      <c r="A7" s="10" t="inlineStr">
        <is>
          <t>Working hours per month</t>
        </is>
      </c>
      <c r="B7" s="18">
        <f>Assumptions!B22*Assumptions!B23</f>
        <v/>
      </c>
    </row>
    <row r="8">
      <c r="A8" s="10" t="inlineStr">
        <is>
          <t>Base cost per hour (BDT)</t>
        </is>
      </c>
      <c r="B8" s="32">
        <f>Team!B4/B7</f>
        <v/>
      </c>
    </row>
    <row r="9">
      <c r="A9" s="33" t="inlineStr">
        <is>
          <t>Fully-loaded cost per hour (BDT)</t>
        </is>
      </c>
      <c r="B9" s="34">
        <f>B8*Assumptions!B24</f>
        <v/>
      </c>
    </row>
    <row r="10">
      <c r="A10" s="10" t="inlineStr">
        <is>
          <t>Base cost per hour (USD)</t>
        </is>
      </c>
      <c r="B10" s="35">
        <f>B8/Assumptions!B5</f>
        <v/>
      </c>
    </row>
    <row r="11">
      <c r="A11" s="33" t="inlineStr">
        <is>
          <t>Fully-loaded cost per hour (USD)</t>
        </is>
      </c>
      <c r="B11" s="36">
        <f>B9/Assumptions!B5</f>
        <v/>
      </c>
    </row>
    <row r="13">
      <c r="A13" s="8" t="inlineStr">
        <is>
          <t>CTO cost by engagement (fully-loaded)</t>
        </is>
      </c>
    </row>
    <row r="14">
      <c r="A14" s="9" t="inlineStr">
        <is>
          <t>Engagement</t>
        </is>
      </c>
      <c r="B14" s="9" t="inlineStr">
        <is>
          <t>BDT</t>
        </is>
      </c>
      <c r="C14" s="9" t="inlineStr">
        <is>
          <t>USD</t>
        </is>
      </c>
    </row>
    <row r="15">
      <c r="A15" s="10" t="inlineStr">
        <is>
          <t>Per hour</t>
        </is>
      </c>
      <c r="B15" s="12">
        <f>B9</f>
        <v/>
      </c>
      <c r="C15" s="11">
        <f>B9/Assumptions!B5</f>
        <v/>
      </c>
    </row>
    <row r="16">
      <c r="A16" s="10" t="inlineStr">
        <is>
          <t>Per day (8h)</t>
        </is>
      </c>
      <c r="B16" s="12">
        <f>B9*Assumptions!B23</f>
        <v/>
      </c>
      <c r="C16" s="11">
        <f>B9*Assumptions!B23/Assumptions!B5</f>
        <v/>
      </c>
    </row>
    <row r="17">
      <c r="A17" s="10" t="inlineStr">
        <is>
          <t>Per week (5 days)</t>
        </is>
      </c>
      <c r="B17" s="12">
        <f>B9*Assumptions!B23*5</f>
        <v/>
      </c>
      <c r="C17" s="11">
        <f>B9*Assumptions!B23*5/Assumptions!B5</f>
        <v/>
      </c>
    </row>
    <row r="18">
      <c r="A18" s="10" t="inlineStr">
        <is>
          <t>Per month</t>
        </is>
      </c>
      <c r="B18" s="12">
        <f>Team!B4*Assumptions!B24</f>
        <v/>
      </c>
      <c r="C18" s="11">
        <f>Team!B4*Assumptions!B24/Assumptions!B5</f>
        <v/>
      </c>
    </row>
    <row r="19">
      <c r="A19" s="10" t="inlineStr">
        <is>
          <t>Per year</t>
        </is>
      </c>
      <c r="B19" s="12">
        <f>Team!B4*Assumptions!B24*12</f>
        <v/>
      </c>
      <c r="C19" s="11">
        <f>Team!B4*Assumptions!B24*12/Assumptions!B5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0" customWidth="1" min="3" max="3"/>
    <col width="20" customWidth="1" min="4" max="4"/>
  </cols>
  <sheetData>
    <row r="1">
      <c r="A1" s="20" t="inlineStr">
        <is>
          <t>AI / LLM Cost (Claude) — at full 1M scale</t>
        </is>
      </c>
    </row>
    <row r="2">
      <c r="A2" s="2" t="inlineStr">
        <is>
          <t>This is the steady-state run-rate assuming the full user target is active. The Timeline sheet ramps this up over the year.</t>
        </is>
      </c>
    </row>
    <row r="4">
      <c r="A4" s="10" t="inlineStr">
        <is>
          <t>Monthly active users (MAU)</t>
        </is>
      </c>
      <c r="B4" s="18">
        <f>Assumptions!B7*Assumptions!B8</f>
        <v/>
      </c>
    </row>
    <row r="5">
      <c r="A5" s="10" t="inlineStr">
        <is>
          <t>Queries per month</t>
        </is>
      </c>
      <c r="B5" s="18">
        <f>B4*Assumptions!B9</f>
        <v/>
      </c>
    </row>
    <row r="6">
      <c r="A6" s="10" t="inlineStr">
        <is>
          <t>Queries per year</t>
        </is>
      </c>
      <c r="B6" s="18">
        <f>B5*12</f>
        <v/>
      </c>
    </row>
    <row r="7">
      <c r="A7" s="10" t="inlineStr">
        <is>
          <t>Cost per query (USD)</t>
        </is>
      </c>
      <c r="B7" s="37">
        <f>Assumptions!B11/1000000*Assumptions!B13+Assumptions!B12/1000000*Assumptions!B14</f>
        <v/>
      </c>
    </row>
    <row r="8">
      <c r="A8" s="10" t="inlineStr">
        <is>
          <t>LLM cost per month (USD)</t>
        </is>
      </c>
      <c r="B8" s="38">
        <f>B5*B7</f>
        <v/>
      </c>
    </row>
    <row r="9">
      <c r="A9" s="10" t="inlineStr">
        <is>
          <t>LLM cost per year (USD)</t>
        </is>
      </c>
      <c r="B9" s="39">
        <f>B8*12</f>
        <v/>
      </c>
    </row>
    <row r="10">
      <c r="A10" s="10" t="inlineStr">
        <is>
          <t>LLM cost per year (BDT)</t>
        </is>
      </c>
      <c r="B10" s="34">
        <f>B9*Assumptions!B5</f>
        <v/>
      </c>
    </row>
    <row r="12">
      <c r="A12" s="8" t="inlineStr">
        <is>
          <t>Sensitivity — annual LLM cost by activity level</t>
        </is>
      </c>
    </row>
    <row r="13">
      <c r="A13" s="9" t="inlineStr">
        <is>
          <t>Monthly active %</t>
        </is>
      </c>
      <c r="B13" s="9" t="inlineStr">
        <is>
          <t>MAU</t>
        </is>
      </c>
      <c r="C13" s="9" t="inlineStr">
        <is>
          <t>Annual LLM (USD)</t>
        </is>
      </c>
      <c r="D13" s="9" t="inlineStr">
        <is>
          <t>Annual LLM (BDT)</t>
        </is>
      </c>
    </row>
    <row r="14">
      <c r="A14" s="13" t="n">
        <v>0.1</v>
      </c>
      <c r="B14" s="30">
        <f>Assumptions!B7*A14</f>
        <v/>
      </c>
      <c r="C14" s="11">
        <f>B14*Assumptions!B9*12*B7</f>
        <v/>
      </c>
      <c r="D14" s="12">
        <f>C14*Assumptions!B5</f>
        <v/>
      </c>
    </row>
    <row r="15">
      <c r="A15" s="13" t="n">
        <v>0.2</v>
      </c>
      <c r="B15" s="30">
        <f>Assumptions!B7*A15</f>
        <v/>
      </c>
      <c r="C15" s="11">
        <f>B15*Assumptions!B9*12*B7</f>
        <v/>
      </c>
      <c r="D15" s="12">
        <f>C15*Assumptions!B5</f>
        <v/>
      </c>
    </row>
    <row r="16">
      <c r="A16" s="13" t="n">
        <v>0.3</v>
      </c>
      <c r="B16" s="30">
        <f>Assumptions!B7*A16</f>
        <v/>
      </c>
      <c r="C16" s="11">
        <f>B16*Assumptions!B9*12*B7</f>
        <v/>
      </c>
      <c r="D16" s="12">
        <f>C16*Assumptions!B5</f>
        <v/>
      </c>
    </row>
    <row r="18">
      <c r="A18" s="19" t="inlineStr">
        <is>
          <t>Levers to cut this: cache repeated answers, use a cheaper model (e.g. Haiku) for simple queries, cap free-tier usage.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20" t="inlineStr">
        <is>
          <t>Knowledge Integration — 100,000 books</t>
        </is>
      </c>
    </row>
    <row r="2">
      <c r="A2" s="2" t="inlineStr">
        <is>
          <t>Storage + one-time ingestion. Human curation effort sits in the Team sheet (Knowledge-Ops Lead + Content Specialists).</t>
        </is>
      </c>
    </row>
    <row r="4">
      <c r="A4" s="10" t="inlineStr">
        <is>
          <t>Total storage (GB)</t>
        </is>
      </c>
      <c r="B4" s="18">
        <f>Assumptions!B16*Assumptions!B17/1024</f>
        <v/>
      </c>
    </row>
    <row r="5">
      <c r="A5" s="10" t="inlineStr">
        <is>
          <t>Total search chunks (info)</t>
        </is>
      </c>
      <c r="B5" s="18">
        <f>Assumptions!B16*Assumptions!B18</f>
        <v/>
      </c>
    </row>
    <row r="6">
      <c r="A6" s="10" t="inlineStr">
        <is>
          <t>Storage cost per month (USD)</t>
        </is>
      </c>
      <c r="B6" s="38">
        <f>B4*Assumptions!B19</f>
        <v/>
      </c>
    </row>
    <row r="7">
      <c r="A7" s="10" t="inlineStr">
        <is>
          <t>Storage cost per year (USD)</t>
        </is>
      </c>
      <c r="B7" s="38">
        <f>B6*12</f>
        <v/>
      </c>
    </row>
    <row r="8">
      <c r="A8" s="10" t="inlineStr">
        <is>
          <t>One-time ingestion compute (USD)</t>
        </is>
      </c>
      <c r="B8" s="38">
        <f>Assumptions!B20</f>
        <v/>
      </c>
    </row>
    <row r="9">
      <c r="A9" s="10" t="inlineStr">
        <is>
          <t>Year-1 knowledge cost (USD)</t>
        </is>
      </c>
      <c r="B9" s="39">
        <f>B7+B8</f>
        <v/>
      </c>
    </row>
    <row r="10">
      <c r="A10" s="10" t="inlineStr">
        <is>
          <t>Run-rate annual knowledge cost (USD)</t>
        </is>
      </c>
      <c r="B10" s="38">
        <f>B7</f>
        <v/>
      </c>
    </row>
    <row r="11">
      <c r="A11" s="10" t="inlineStr">
        <is>
          <t>Year-1 knowledge cost (BDT)</t>
        </is>
      </c>
      <c r="B11" s="32">
        <f>B9*Assumptions!B5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0" customWidth="1" min="4" max="4"/>
  </cols>
  <sheetData>
    <row r="1">
      <c r="A1" s="20" t="inlineStr">
        <is>
          <t>Infrastructure (excl. AI &amp; knowledge storage)</t>
        </is>
      </c>
    </row>
    <row r="3">
      <c r="A3" s="9" t="inlineStr">
        <is>
          <t>Item</t>
        </is>
      </c>
      <c r="B3" s="9" t="inlineStr">
        <is>
          <t>Monthly (USD)</t>
        </is>
      </c>
      <c r="C3" s="9" t="inlineStr">
        <is>
          <t>Annual (USD)</t>
        </is>
      </c>
      <c r="D3" s="9" t="inlineStr">
        <is>
          <t>Annual (BDT)</t>
        </is>
      </c>
    </row>
    <row r="4">
      <c r="A4" s="10" t="inlineStr">
        <is>
          <t>App servers / hosting (autoscale)</t>
        </is>
      </c>
      <c r="B4" s="11">
        <f>Assumptions!B26</f>
        <v/>
      </c>
      <c r="C4" s="11">
        <f>B4*12</f>
        <v/>
      </c>
      <c r="D4" s="12">
        <f>C4*Assumptions!B5</f>
        <v/>
      </c>
    </row>
    <row r="5">
      <c r="A5" s="10" t="inlineStr">
        <is>
          <t>Managed PostgreSQL (scaled)</t>
        </is>
      </c>
      <c r="B5" s="11">
        <f>Assumptions!B27</f>
        <v/>
      </c>
      <c r="C5" s="11">
        <f>B5*12</f>
        <v/>
      </c>
      <c r="D5" s="12">
        <f>C5*Assumptions!B5</f>
        <v/>
      </c>
    </row>
    <row r="6">
      <c r="A6" s="10" t="inlineStr">
        <is>
          <t>Bandwidth / CDN</t>
        </is>
      </c>
      <c r="B6" s="11">
        <f>Assumptions!B28</f>
        <v/>
      </c>
      <c r="C6" s="11">
        <f>B6*12</f>
        <v/>
      </c>
      <c r="D6" s="12">
        <f>C6*Assumptions!B5</f>
        <v/>
      </c>
    </row>
    <row r="7">
      <c r="A7" s="10" t="inlineStr">
        <is>
          <t>Transactional email (Resend)</t>
        </is>
      </c>
      <c r="B7" s="11">
        <f>Assumptions!B29</f>
        <v/>
      </c>
      <c r="C7" s="11">
        <f>B7*12</f>
        <v/>
      </c>
      <c r="D7" s="12">
        <f>C7*Assumptions!B5</f>
        <v/>
      </c>
    </row>
    <row r="8">
      <c r="A8" s="10" t="inlineStr">
        <is>
          <t>Monitoring / logging</t>
        </is>
      </c>
      <c r="B8" s="11">
        <f>Assumptions!B30</f>
        <v/>
      </c>
      <c r="C8" s="11">
        <f>B8*12</f>
        <v/>
      </c>
      <c r="D8" s="12">
        <f>C8*Assumptions!B5</f>
        <v/>
      </c>
    </row>
    <row r="9">
      <c r="A9" s="10" t="inlineStr">
        <is>
          <t>Domain, SSL, misc SaaS</t>
        </is>
      </c>
      <c r="B9" s="11">
        <f>Assumptions!B31</f>
        <v/>
      </c>
      <c r="C9" s="11">
        <f>B9*12</f>
        <v/>
      </c>
      <c r="D9" s="12">
        <f>C9*Assumptions!B5</f>
        <v/>
      </c>
    </row>
    <row r="10">
      <c r="A10" s="14" t="inlineStr">
        <is>
          <t>TOTAL</t>
        </is>
      </c>
      <c r="B10" s="15">
        <f>SUM(B4:B9)</f>
        <v/>
      </c>
      <c r="C10" s="15">
        <f>SUM(C4:C9)</f>
        <v/>
      </c>
      <c r="D10" s="16">
        <f>SUM(D4:D9)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5" customWidth="1" min="6" max="6"/>
    <col width="14" customWidth="1" min="7" max="7"/>
    <col width="18" customWidth="1" min="8" max="8"/>
    <col width="18" customWidth="1" min="9" max="9"/>
  </cols>
  <sheetData>
    <row r="1">
      <c r="A1" s="20" t="inlineStr">
        <is>
          <t>12-Month Cash Timeline (with user ramp)</t>
        </is>
      </c>
    </row>
    <row r="2">
      <c r="A2" s="2" t="inlineStr">
        <is>
          <t>Active users ramp linearly to target by month 12. Team &amp; infra are fixed; ingestion one-time hits month 1.</t>
        </is>
      </c>
    </row>
    <row r="3">
      <c r="A3" s="9" t="inlineStr">
        <is>
          <t>Month</t>
        </is>
      </c>
      <c r="B3" s="9" t="inlineStr">
        <is>
          <t>Active users</t>
        </is>
      </c>
      <c r="C3" s="9" t="inlineStr">
        <is>
          <t>LLM (USD)</t>
        </is>
      </c>
      <c r="D3" s="9" t="inlineStr">
        <is>
          <t>Infra (USD)</t>
        </is>
      </c>
      <c r="E3" s="9" t="inlineStr">
        <is>
          <t>Team (USD)</t>
        </is>
      </c>
      <c r="F3" s="9" t="inlineStr">
        <is>
          <t>Knowledge (USD)</t>
        </is>
      </c>
      <c r="G3" s="9" t="inlineStr">
        <is>
          <t>Total (USD)</t>
        </is>
      </c>
      <c r="H3" s="9" t="inlineStr">
        <is>
          <t>Total (BDT)</t>
        </is>
      </c>
      <c r="I3" s="9" t="inlineStr">
        <is>
          <t>Cumulative (USD)</t>
        </is>
      </c>
    </row>
    <row r="4">
      <c r="A4" s="10" t="n">
        <v>1</v>
      </c>
      <c r="B4" s="30">
        <f>Assumptions!B7*Assumptions!B8*1/12</f>
        <v/>
      </c>
      <c r="C4" s="11">
        <f>B4*Assumptions!B9*'AI &amp; LLM'!B7</f>
        <v/>
      </c>
      <c r="D4" s="11">
        <f>Infrastructure!B10</f>
        <v/>
      </c>
      <c r="E4" s="11">
        <f>Team!G13/12</f>
        <v/>
      </c>
      <c r="F4" s="11">
        <f>Knowledge!B6+Knowledge!B8</f>
        <v/>
      </c>
      <c r="G4" s="11">
        <f>C4+D4+E4+F4</f>
        <v/>
      </c>
      <c r="H4" s="12">
        <f>G4*Assumptions!B5</f>
        <v/>
      </c>
      <c r="I4" s="11">
        <f>G4</f>
        <v/>
      </c>
    </row>
    <row r="5">
      <c r="A5" s="10" t="n">
        <v>2</v>
      </c>
      <c r="B5" s="30">
        <f>Assumptions!B7*Assumptions!B8*2/12</f>
        <v/>
      </c>
      <c r="C5" s="11">
        <f>B5*Assumptions!B9*'AI &amp; LLM'!B7</f>
        <v/>
      </c>
      <c r="D5" s="11">
        <f>Infrastructure!B10</f>
        <v/>
      </c>
      <c r="E5" s="11">
        <f>Team!G13/12</f>
        <v/>
      </c>
      <c r="F5" s="11">
        <f>Knowledge!B6</f>
        <v/>
      </c>
      <c r="G5" s="11">
        <f>C5+D5+E5+F5</f>
        <v/>
      </c>
      <c r="H5" s="12">
        <f>G5*Assumptions!B5</f>
        <v/>
      </c>
      <c r="I5" s="11">
        <f>I4+G5</f>
        <v/>
      </c>
    </row>
    <row r="6">
      <c r="A6" s="10" t="n">
        <v>3</v>
      </c>
      <c r="B6" s="30">
        <f>Assumptions!B7*Assumptions!B8*3/12</f>
        <v/>
      </c>
      <c r="C6" s="11">
        <f>B6*Assumptions!B9*'AI &amp; LLM'!B7</f>
        <v/>
      </c>
      <c r="D6" s="11">
        <f>Infrastructure!B10</f>
        <v/>
      </c>
      <c r="E6" s="11">
        <f>Team!G13/12</f>
        <v/>
      </c>
      <c r="F6" s="11">
        <f>Knowledge!B6</f>
        <v/>
      </c>
      <c r="G6" s="11">
        <f>C6+D6+E6+F6</f>
        <v/>
      </c>
      <c r="H6" s="12">
        <f>G6*Assumptions!B5</f>
        <v/>
      </c>
      <c r="I6" s="11">
        <f>I5+G6</f>
        <v/>
      </c>
    </row>
    <row r="7">
      <c r="A7" s="10" t="n">
        <v>4</v>
      </c>
      <c r="B7" s="30">
        <f>Assumptions!B7*Assumptions!B8*4/12</f>
        <v/>
      </c>
      <c r="C7" s="11">
        <f>B7*Assumptions!B9*'AI &amp; LLM'!B7</f>
        <v/>
      </c>
      <c r="D7" s="11">
        <f>Infrastructure!B10</f>
        <v/>
      </c>
      <c r="E7" s="11">
        <f>Team!G13/12</f>
        <v/>
      </c>
      <c r="F7" s="11">
        <f>Knowledge!B6</f>
        <v/>
      </c>
      <c r="G7" s="11">
        <f>C7+D7+E7+F7</f>
        <v/>
      </c>
      <c r="H7" s="12">
        <f>G7*Assumptions!B5</f>
        <v/>
      </c>
      <c r="I7" s="11">
        <f>I6+G7</f>
        <v/>
      </c>
    </row>
    <row r="8">
      <c r="A8" s="10" t="n">
        <v>5</v>
      </c>
      <c r="B8" s="30">
        <f>Assumptions!B7*Assumptions!B8*5/12</f>
        <v/>
      </c>
      <c r="C8" s="11">
        <f>B8*Assumptions!B9*'AI &amp; LLM'!B7</f>
        <v/>
      </c>
      <c r="D8" s="11">
        <f>Infrastructure!B10</f>
        <v/>
      </c>
      <c r="E8" s="11">
        <f>Team!G13/12</f>
        <v/>
      </c>
      <c r="F8" s="11">
        <f>Knowledge!B6</f>
        <v/>
      </c>
      <c r="G8" s="11">
        <f>C8+D8+E8+F8</f>
        <v/>
      </c>
      <c r="H8" s="12">
        <f>G8*Assumptions!B5</f>
        <v/>
      </c>
      <c r="I8" s="11">
        <f>I7+G8</f>
        <v/>
      </c>
    </row>
    <row r="9">
      <c r="A9" s="10" t="n">
        <v>6</v>
      </c>
      <c r="B9" s="30">
        <f>Assumptions!B7*Assumptions!B8*6/12</f>
        <v/>
      </c>
      <c r="C9" s="11">
        <f>B9*Assumptions!B9*'AI &amp; LLM'!B7</f>
        <v/>
      </c>
      <c r="D9" s="11">
        <f>Infrastructure!B10</f>
        <v/>
      </c>
      <c r="E9" s="11">
        <f>Team!G13/12</f>
        <v/>
      </c>
      <c r="F9" s="11">
        <f>Knowledge!B6</f>
        <v/>
      </c>
      <c r="G9" s="11">
        <f>C9+D9+E9+F9</f>
        <v/>
      </c>
      <c r="H9" s="12">
        <f>G9*Assumptions!B5</f>
        <v/>
      </c>
      <c r="I9" s="11">
        <f>I8+G9</f>
        <v/>
      </c>
    </row>
    <row r="10">
      <c r="A10" s="10" t="n">
        <v>7</v>
      </c>
      <c r="B10" s="30">
        <f>Assumptions!B7*Assumptions!B8*7/12</f>
        <v/>
      </c>
      <c r="C10" s="11">
        <f>B10*Assumptions!B9*'AI &amp; LLM'!B7</f>
        <v/>
      </c>
      <c r="D10" s="11">
        <f>Infrastructure!B10</f>
        <v/>
      </c>
      <c r="E10" s="11">
        <f>Team!G13/12</f>
        <v/>
      </c>
      <c r="F10" s="11">
        <f>Knowledge!B6</f>
        <v/>
      </c>
      <c r="G10" s="11">
        <f>C10+D10+E10+F10</f>
        <v/>
      </c>
      <c r="H10" s="12">
        <f>G10*Assumptions!B5</f>
        <v/>
      </c>
      <c r="I10" s="11">
        <f>I9+G10</f>
        <v/>
      </c>
    </row>
    <row r="11">
      <c r="A11" s="10" t="n">
        <v>8</v>
      </c>
      <c r="B11" s="30">
        <f>Assumptions!B7*Assumptions!B8*8/12</f>
        <v/>
      </c>
      <c r="C11" s="11">
        <f>B11*Assumptions!B9*'AI &amp; LLM'!B7</f>
        <v/>
      </c>
      <c r="D11" s="11">
        <f>Infrastructure!B10</f>
        <v/>
      </c>
      <c r="E11" s="11">
        <f>Team!G13/12</f>
        <v/>
      </c>
      <c r="F11" s="11">
        <f>Knowledge!B6</f>
        <v/>
      </c>
      <c r="G11" s="11">
        <f>C11+D11+E11+F11</f>
        <v/>
      </c>
      <c r="H11" s="12">
        <f>G11*Assumptions!B5</f>
        <v/>
      </c>
      <c r="I11" s="11">
        <f>I10+G11</f>
        <v/>
      </c>
    </row>
    <row r="12">
      <c r="A12" s="10" t="n">
        <v>9</v>
      </c>
      <c r="B12" s="30">
        <f>Assumptions!B7*Assumptions!B8*9/12</f>
        <v/>
      </c>
      <c r="C12" s="11">
        <f>B12*Assumptions!B9*'AI &amp; LLM'!B7</f>
        <v/>
      </c>
      <c r="D12" s="11">
        <f>Infrastructure!B10</f>
        <v/>
      </c>
      <c r="E12" s="11">
        <f>Team!G13/12</f>
        <v/>
      </c>
      <c r="F12" s="11">
        <f>Knowledge!B6</f>
        <v/>
      </c>
      <c r="G12" s="11">
        <f>C12+D12+E12+F12</f>
        <v/>
      </c>
      <c r="H12" s="12">
        <f>G12*Assumptions!B5</f>
        <v/>
      </c>
      <c r="I12" s="11">
        <f>I11+G12</f>
        <v/>
      </c>
    </row>
    <row r="13">
      <c r="A13" s="10" t="n">
        <v>10</v>
      </c>
      <c r="B13" s="30">
        <f>Assumptions!B7*Assumptions!B8*10/12</f>
        <v/>
      </c>
      <c r="C13" s="11">
        <f>B13*Assumptions!B9*'AI &amp; LLM'!B7</f>
        <v/>
      </c>
      <c r="D13" s="11">
        <f>Infrastructure!B10</f>
        <v/>
      </c>
      <c r="E13" s="11">
        <f>Team!G13/12</f>
        <v/>
      </c>
      <c r="F13" s="11">
        <f>Knowledge!B6</f>
        <v/>
      </c>
      <c r="G13" s="11">
        <f>C13+D13+E13+F13</f>
        <v/>
      </c>
      <c r="H13" s="12">
        <f>G13*Assumptions!B5</f>
        <v/>
      </c>
      <c r="I13" s="11">
        <f>I12+G13</f>
        <v/>
      </c>
    </row>
    <row r="14">
      <c r="A14" s="10" t="n">
        <v>11</v>
      </c>
      <c r="B14" s="30">
        <f>Assumptions!B7*Assumptions!B8*11/12</f>
        <v/>
      </c>
      <c r="C14" s="11">
        <f>B14*Assumptions!B9*'AI &amp; LLM'!B7</f>
        <v/>
      </c>
      <c r="D14" s="11">
        <f>Infrastructure!B10</f>
        <v/>
      </c>
      <c r="E14" s="11">
        <f>Team!G13/12</f>
        <v/>
      </c>
      <c r="F14" s="11">
        <f>Knowledge!B6</f>
        <v/>
      </c>
      <c r="G14" s="11">
        <f>C14+D14+E14+F14</f>
        <v/>
      </c>
      <c r="H14" s="12">
        <f>G14*Assumptions!B5</f>
        <v/>
      </c>
      <c r="I14" s="11">
        <f>I13+G14</f>
        <v/>
      </c>
    </row>
    <row r="15">
      <c r="A15" s="10" t="n">
        <v>12</v>
      </c>
      <c r="B15" s="30">
        <f>Assumptions!B7*Assumptions!B8*12/12</f>
        <v/>
      </c>
      <c r="C15" s="11">
        <f>B15*Assumptions!B9*'AI &amp; LLM'!B7</f>
        <v/>
      </c>
      <c r="D15" s="11">
        <f>Infrastructure!B10</f>
        <v/>
      </c>
      <c r="E15" s="11">
        <f>Team!G13/12</f>
        <v/>
      </c>
      <c r="F15" s="11">
        <f>Knowledge!B6</f>
        <v/>
      </c>
      <c r="G15" s="11">
        <f>C15+D15+E15+F15</f>
        <v/>
      </c>
      <c r="H15" s="12">
        <f>G15*Assumptions!B5</f>
        <v/>
      </c>
      <c r="I15" s="11">
        <f>I14+G15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2026-07-04T12:39:52Z</dcterms:created>
  <dcterms:modified xsi:type="dcterms:W3CDTF">2026-07-04T12:39:52Z</dcterms:modified>
</cp:coreProperties>
</file>