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onthly Plan" sheetId="1" state="visible" r:id="rId1"/>
    <sheet xmlns:r="http://schemas.openxmlformats.org/officeDocument/2006/relationships" name="Original Template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Usage and Acquisition" sheetId="4" state="visible" r:id="rId4"/>
    <sheet xmlns:r="http://schemas.openxmlformats.org/officeDocument/2006/relationships" name="Legal and Setup" sheetId="5" state="visible" r:id="rId5"/>
    <sheet xmlns:r="http://schemas.openxmlformats.org/officeDocument/2006/relationships" name="Read Me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s" sheetId="8" state="visible" r:id="rId8"/>
  </sheets>
  <definedNames>
    <definedName name="_xlnm.Print_Area" localSheetId="0">'Monthly Plan'!$B$3:$H$27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;–"/>
    <numFmt numFmtId="165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0000"/>
      <sz val="11"/>
      <scheme val="minor"/>
    </font>
    <font>
      <name val="Calibri"/>
      <color rgb="00163B30"/>
      <sz val="11"/>
    </font>
    <font>
      <name val="Calibri"/>
      <color rgb="001663A6"/>
      <sz val="11"/>
    </font>
    <font>
      <name val="Calibri"/>
      <b val="1"/>
      <color rgb="00FFFFFF"/>
    </font>
    <font>
      <b val="1"/>
      <color rgb="00123D30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123D30"/>
      </patternFill>
    </fill>
    <fill>
      <patternFill patternType="solid">
        <fgColor rgb="00E2EED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" fontId="6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5" fontId="7" fillId="6" borderId="1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165" fontId="7" fillId="6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5" fillId="0" borderId="0" applyAlignment="1" pivotButton="0" quotePrefix="0" xfId="0">
      <alignment vertical="top" wrapText="1"/>
    </xf>
    <xf numFmtId="9" fontId="5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IQRA</author>
  </authors>
  <commentList>
    <comment ref="H6" authorId="0" shapeId="0">
      <text>
        <t>Ending peak, not sum of concurrent users.</t>
      </text>
    </comment>
    <comment ref="H7" authorId="0" shapeId="0">
      <text>
        <t>Ending monthly active audience; not sum of months.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P27"/>
  <ns0:sheetViews>
    <ns0:sheetView showGridLines="0" tabSelected="1" workbookViewId="0">
      <ns0:pane xSplit="2" ySplit="5" topLeftCell="C6" activePane="bottomRight" state="frozen"/>
      <ns0:selection pane="topRight"/>
      <ns0:selection pane="bottomLeft"/>
      <ns0:selection pane="bottomRight" activeCell="E14" sqref="E14"/>
    </ns0:sheetView>
  </ns0:sheetViews>
  <ns0:sheetFormatPr baseColWidth="8" defaultRowHeight="14.4"/>
  <ns0:cols>
    <ns0:col width="3" customWidth="1" style="1" min="1" max="1"/>
    <ns0:col width="43" customWidth="1" style="1" min="2" max="2"/>
    <ns0:col width="22" customWidth="1" style="1" min="3" max="16384"/>
    <ns0:col width="22" customWidth="1" min="4" max="4"/>
    <ns0:col width="22" customWidth="1" min="5" max="5"/>
    <ns0:col width="22" customWidth="1" min="6" max="6"/>
    <ns0:col width="22" customWidth="1" min="7" max="7"/>
    <ns0:col width="22" customWidth="1" min="8" max="8"/>
    <ns0:col width="22" customWidth="1" min="9" max="9"/>
    <ns0:col width="22" customWidth="1" min="10" max="10"/>
    <ns0:col width="22" customWidth="1" min="11" max="11"/>
    <ns0:col width="22" customWidth="1" min="12" max="12"/>
    <ns0:col width="22" customWidth="1" min="13" max="13"/>
    <ns0:col width="22" customWidth="1" min="14" max="14"/>
    <ns0:col width="22" customWidth="1" min="15" max="15"/>
    <ns0:col width="22" customWidth="1" min="16" max="16"/>
  </ns0:cols>
  <ns0:sheetData>
    <ns0:row r="1" ht="32" customHeight="1">
      <ns0:c r="A1" s="11" t="n"/>
      <ns0:c r="B1" s="11" t="n"/>
      <ns0:c r="C1" s="11" t="n"/>
      <ns0:c r="D1" s="11" t="n"/>
      <ns0:c r="E1" s="11" t="n"/>
      <ns0:c r="F1" s="11" t="n"/>
      <ns0:c r="G1" s="11" t="n"/>
      <ns0:c r="H1" s="11" t="n"/>
      <ns0:c r="I1" s="11" t="n"/>
      <ns0:c r="J1" s="11" t="n"/>
      <ns0:c r="K1" s="11" t="n"/>
      <ns0:c r="L1" s="11" t="n"/>
      <ns0:c r="M1" s="11" t="n"/>
      <ns0:c r="N1" s="11" t="n"/>
      <ns0:c r="O1" s="11" t="n"/>
      <ns0:c r="P1" s="11" t="n"/>
    </ns0:row>
    <ns0:row r="2" ht="32" customHeight="1">
      <ns0:c r="A2" s="11" t="n"/>
      <ns0:c r="B2" s="11" t="n"/>
      <ns0:c r="C2" s="11" t="n"/>
      <ns0:c r="D2" s="11" t="n"/>
      <ns0:c r="E2" s="11" t="n"/>
      <ns0:c r="F2" s="11" t="n"/>
      <ns0:c r="G2" s="11" t="n"/>
      <ns0:c r="H2" s="11" t="n"/>
      <ns0:c r="I2" s="11" t="n"/>
      <ns0:c r="J2" s="11" t="n"/>
      <ns0:c r="K2" s="11" t="n"/>
      <ns0:c r="L2" s="11" t="n"/>
      <ns0:c r="M2" s="11" t="n"/>
      <ns0:c r="N2" s="11" t="n"/>
      <ns0:c r="O2" s="11" t="n"/>
      <ns0:c r="P2" s="11" t="n"/>
    </ns0:row>
    <ns0:row r="3" ht="32" customHeight="1">
      <ns0:c r="A3" s="11" t="n"/>
      <ns0:c r="B3" s="12" t="inlineStr">
        <ns0:is>
          <ns0:t>IQRA — November 2026 to March 2027 budget (USD)</ns0:t>
        </ns0:is>
      </ns0:c>
      <ns0:c r="C3" s="13" t="n"/>
      <ns0:c r="D3" s="13" t="n"/>
      <ns0:c r="E3" s="13" t="n"/>
      <ns0:c r="F3" s="13" t="n"/>
      <ns0:c r="G3" s="13" t="n"/>
      <ns0:c r="H3" s="13" t="n"/>
      <ns0:c r="I3" s="13" t="n"/>
      <ns0:c r="J3" s="13" t="n"/>
      <ns0:c r="K3" s="13" t="n"/>
      <ns0:c r="L3" s="13" t="n"/>
      <ns0:c r="M3" s="13" t="n"/>
      <ns0:c r="N3" s="13" t="n"/>
      <ns0:c r="O3" s="14" t="n"/>
      <ns0:c r="P3" s="11" t="n"/>
    </ns0:row>
    <ns0:row r="4" ht="32" customHeight="1">
      <ns0:c r="A4" s="11" t="n"/>
      <ns0:c r="B4" s="15" t="n"/>
      <ns0:c r="C4" s="15" t="inlineStr">
        <ns0:is>
          <ns0:t>Month 1</ns0:t>
        </ns0:is>
      </ns0:c>
      <ns0:c r="D4" s="15" t="inlineStr">
        <ns0:is>
          <ns0:t>Month 2</ns0:t>
        </ns0:is>
      </ns0:c>
      <ns0:c r="E4" s="15" t="inlineStr">
        <ns0:is>
          <ns0:t>Month 3</ns0:t>
        </ns0:is>
      </ns0:c>
      <ns0:c r="F4" s="15" t="inlineStr">
        <ns0:is>
          <ns0:t>Month 4</ns0:t>
        </ns0:is>
      </ns0:c>
      <ns0:c r="G4" s="15" t="inlineStr">
        <ns0:is>
          <ns0:t>Month 5</ns0:t>
        </ns0:is>
      </ns0:c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1" t="n"/>
    </ns0:row>
    <ns0:row r="5" ht="32" customHeight="1">
      <ns0:c r="A5" s="16" t="n"/>
      <ns0:c r="B5" s="17" t="n"/>
      <ns0:c r="C5" s="18" t="inlineStr">
        <ns0:is>
          <ns0:t>Nov 2026</ns0:t>
        </ns0:is>
      </ns0:c>
      <ns0:c r="D5" s="18" t="inlineStr">
        <ns0:is>
          <ns0:t>Dec 2026</ns0:t>
        </ns0:is>
      </ns0:c>
      <ns0:c r="E5" s="17" t="inlineStr">
        <ns0:is>
          <ns0:t>Jan 2027</ns0:t>
        </ns0:is>
      </ns0:c>
      <ns0:c r="F5" s="18" t="inlineStr">
        <ns0:is>
          <ns0:t>Feb 2027</ns0:t>
        </ns0:is>
      </ns0:c>
      <ns0:c r="G5" s="18" t="inlineStr">
        <ns0:is>
          <ns0:t>Mar 2027</ns0:t>
        </ns0:is>
      </ns0:c>
      <ns0:c r="H5" s="17" t="inlineStr">
        <ns0:is>
          <ns0:t>Nov–Mar total</ns0:t>
        </ns0:is>
      </ns0:c>
      <ns0:c r="I5" s="18" t="n"/>
      <ns0:c r="J5" s="18" t="n"/>
      <ns0:c r="K5" s="17" t="n"/>
      <ns0:c r="L5" s="18" t="n"/>
      <ns0:c r="M5" s="18" t="n"/>
      <ns0:c r="N5" s="17" t="n"/>
      <ns0:c r="O5" s="17" t="n"/>
      <ns0:c r="P5" s="16" t="n"/>
    </ns0:row>
    <ns0:row r="6" ht="32" customHeight="1">
      <ns0:c r="A6" s="11" t="n"/>
      <ns0:c r="B6" s="19" t="inlineStr">
        <ns0:is>
          <ns0:t>Peak concurrent users</ns0:t>
        </ns0:is>
      </ns0:c>
      <ns0:c r="C6" s="20" t="n">
        <ns0:v>1000</ns0:v>
      </ns0:c>
      <ns0:c r="D6" s="20" t="n">
        <ns0:v>2000</ns0:v>
      </ns0:c>
      <ns0:c r="E6" s="20" t="n">
        <ns0:v>4000</ns0:v>
      </ns0:c>
      <ns0:c r="F6" s="20" t="n">
        <ns0:v>8000</ns0:v>
      </ns0:c>
      <ns0:c r="G6" s="20" t="n">
        <ns0:v>16000</ns0:v>
      </ns0:c>
      <ns0:c r="H6" s="20" t="n">
        <ns0:v>16000</ns0:v>
      </ns0:c>
      <ns0:c r="I6" s="19" t="n"/>
      <ns0:c r="J6" s="19" t="n"/>
      <ns0:c r="K6" s="19" t="n"/>
      <ns0:c r="L6" s="19" t="n"/>
      <ns0:c r="M6" s="19" t="n"/>
      <ns0:c r="N6" s="19" t="n"/>
      <ns0:c r="O6" s="19" t="n"/>
      <ns0:c r="P6" s="11" t="n"/>
    </ns0:row>
    <ns0:row r="7" ht="32" customHeight="1">
      <ns0:c r="A7" s="11" t="n"/>
      <ns0:c r="B7" s="19" t="inlineStr">
        <ns0:is>
          <ns0:t>End-month MAU required</ns0:t>
        </ns0:is>
      </ns0:c>
      <ns0:c r="C7" s="21">
        <ns0:f>'Usage and Acquisition'!F2</ns0:f>
        <ns0:v>90000.0</ns0:v>
      </ns0:c>
      <ns0:c r="D7" s="21">
        <ns0:f>'Usage and Acquisition'!F3</ns0:f>
        <ns0:v>180000.0</ns0:v>
      </ns0:c>
      <ns0:c r="E7" s="21">
        <ns0:f>'Usage and Acquisition'!F4</ns0:f>
        <ns0:v>360000.0</ns0:v>
      </ns0:c>
      <ns0:c r="F7" s="21">
        <ns0:f>'Usage and Acquisition'!F5</ns0:f>
        <ns0:v>720000.0</ns0:v>
      </ns0:c>
      <ns0:c r="G7" s="21">
        <ns0:f>'Usage and Acquisition'!F6</ns0:f>
        <ns0:v>1440000.0</ns0:v>
      </ns0:c>
      <ns0:c r="H7" s="20" t="n">
        <ns0:v>1440000</ns0:v>
      </ns0:c>
      <ns0:c r="I7" s="19" t="n"/>
      <ns0:c r="J7" s="19" t="n"/>
      <ns0:c r="K7" s="19" t="n"/>
      <ns0:c r="L7" s="19" t="n"/>
      <ns0:c r="M7" s="19" t="n"/>
      <ns0:c r="N7" s="19" t="n"/>
      <ns0:c r="O7" s="19" t="n"/>
      <ns0:c r="P7" s="11" t="n"/>
    </ns0:row>
    <ns0:row r="8" ht="32" customHeight="1">
      <ns0:c r="A8" s="11" t="n"/>
      <ns0:c r="B8" s="22" t="inlineStr">
        <ns0:is>
          <ns0:t>Expenses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1" t="n"/>
    </ns0:row>
    <ns0:row r="9" ht="32" customHeight="1">
      <ns0:c r="A9" s="11" t="n"/>
      <ns0:c r="B9" s="19" t="inlineStr">
        <ns0:is>
          <ns0:t>Tech — software development</ns0:t>
        </ns0:is>
      </ns0:c>
      <ns0:c r="C9" s="23" t="n">
        <ns0:v>15000</ns0:v>
      </ns0:c>
      <ns0:c r="D9" s="23" t="n">
        <ns0:v>18000</ns0:v>
      </ns0:c>
      <ns0:c r="E9" s="23" t="n">
        <ns0:v>15000</ns0:v>
      </ns0:c>
      <ns0:c r="F9" s="23" t="n">
        <ns0:v>12000</ns0:v>
      </ns0:c>
      <ns0:c r="G9" s="23" t="n">
        <ns0:v>10000</ns0:v>
      </ns0:c>
      <ns0:c r="H9" s="24">
        <ns0:f>SUM(C9:G9)</ns0:f>
        <ns0:v>70000</ns0:v>
      </ns0:c>
      <ns0:c r="I9" s="19" t="n"/>
      <ns0:c r="J9" s="19" t="n"/>
      <ns0:c r="K9" s="19" t="n"/>
      <ns0:c r="L9" s="19" t="n"/>
      <ns0:c r="M9" s="19" t="n"/>
      <ns0:c r="N9" s="19" t="n"/>
      <ns0:c r="O9" s="19" t="n"/>
      <ns0:c r="P9" s="11" t="n"/>
    </ns0:row>
    <ns0:row r="10" ht="32" customHeight="1">
      <ns0:c r="A10" s="11" t="n"/>
      <ns0:c r="B10" s="19" t="inlineStr">
        <ns0:is>
          <ns0:t>Promotion — paid advertising</ns0:t>
        </ns0:is>
      </ns0:c>
      <ns0:c r="C10" s="24">
        <ns0:f>'Usage and Acquisition'!I2</ns0:f>
        <ns0:v>188999.99999999997</ns0:v>
      </ns0:c>
      <ns0:c r="D10" s="24">
        <ns0:f>'Usage and Acquisition'!I3</ns0:f>
        <ns0:v>207900.0</ns0:v>
      </ns0:c>
      <ns0:c r="E10" s="24">
        <ns0:f>'Usage and Acquisition'!I4</ns0:f>
        <ns0:v>415800.0</ns0:v>
      </ns0:c>
      <ns0:c r="F10" s="24">
        <ns0:f>'Usage and Acquisition'!I5</ns0:f>
        <ns0:v>831600.0</ns0:v>
      </ns0:c>
      <ns0:c r="G10" s="24">
        <ns0:f>'Usage and Acquisition'!I6</ns0:f>
        <ns0:v>1663200.0</ns0:v>
      </ns0:c>
      <ns0:c r="H10" s="24">
        <ns0:f>SUM(C10:G10)</ns0:f>
        <ns0:v>3307500.0</ns0:v>
      </ns0:c>
      <ns0:c r="I10" s="19" t="n"/>
      <ns0:c r="J10" s="19" t="n"/>
      <ns0:c r="K10" s="19" t="n"/>
      <ns0:c r="L10" s="19" t="n"/>
      <ns0:c r="M10" s="19" t="n"/>
      <ns0:c r="N10" s="19" t="n"/>
      <ns0:c r="O10" s="19" t="n"/>
      <ns0:c r="P10" s="11" t="n"/>
    </ns0:row>
    <ns0:row r="11" ht="32" customHeight="1">
      <ns0:c r="A11" s="11" t="n"/>
      <ns0:c r="B11" s="19" t="inlineStr">
        <ns0:is>
          <ns0:t>Isnad board / scholar review</ns0:t>
        </ns0:is>
      </ns0:c>
      <ns0:c r="C11" s="23" t="n">
        <ns0:v>3000</ns0:v>
      </ns0:c>
      <ns0:c r="D11" s="23" t="n">
        <ns0:v>4000</ns0:v>
      </ns0:c>
      <ns0:c r="E11" s="23" t="n">
        <ns0:v>6000</ns0:v>
      </ns0:c>
      <ns0:c r="F11" s="23" t="n">
        <ns0:v>8000</ns0:v>
      </ns0:c>
      <ns0:c r="G11" s="23" t="n">
        <ns0:v>10000</ns0:v>
      </ns0:c>
      <ns0:c r="H11" s="24">
        <ns0:f>SUM(C11:G11)</ns0:f>
        <ns0:v>31000</ns0:v>
      </ns0:c>
      <ns0:c r="I11" s="19" t="n"/>
      <ns0:c r="J11" s="19" t="n"/>
      <ns0:c r="K11" s="19" t="n"/>
      <ns0:c r="L11" s="19" t="n"/>
      <ns0:c r="M11" s="19" t="n"/>
      <ns0:c r="N11" s="19" t="n"/>
      <ns0:c r="O11" s="19" t="n"/>
      <ns0:c r="P11" s="11" t="n"/>
    </ns0:row>
    <ns0:row r="12" ht="32" customHeight="1">
      <ns0:c r="A12" s="11" t="n"/>
      <ns0:c r="B12" s="19" t="inlineStr">
        <ns0:is>
          <ns0:t>HR — nontechnical operations &amp; support</ns0:t>
        </ns0:is>
      </ns0:c>
      <ns0:c r="C12" s="24">
        <ns0:f>2000+C7/10000*Assumptions!B19</ns0:f>
        <ns0:v>3350.0</ns0:v>
      </ns0:c>
      <ns0:c r="D12" s="24">
        <ns0:f>2000+D7/10000*Assumptions!B19</ns0:f>
        <ns0:v>4700.0</ns0:v>
      </ns0:c>
      <ns0:c r="E12" s="24">
        <ns0:f>2000+E7/10000*Assumptions!B19</ns0:f>
        <ns0:v>7400.0</ns0:v>
      </ns0:c>
      <ns0:c r="F12" s="24">
        <ns0:f>2000+F7/10000*Assumptions!B19</ns0:f>
        <ns0:v>12800.0</ns0:v>
      </ns0:c>
      <ns0:c r="G12" s="24">
        <ns0:f>2000+G7/10000*Assumptions!B19</ns0:f>
        <ns0:v>23600.0</ns0:v>
      </ns0:c>
      <ns0:c r="H12" s="24">
        <ns0:f>SUM(C12:G12)</ns0:f>
        <ns0:v>51850.0</ns0:v>
      </ns0:c>
      <ns0:c r="I12" s="19" t="n"/>
      <ns0:c r="J12" s="19" t="n"/>
      <ns0:c r="K12" s="19" t="n"/>
      <ns0:c r="L12" s="19" t="n"/>
      <ns0:c r="M12" s="19" t="n"/>
      <ns0:c r="N12" s="19" t="n"/>
      <ns0:c r="O12" s="19" t="n"/>
      <ns0:c r="P12" s="11" t="n"/>
    </ns0:row>
    <ns0:row r="13" ht="32" customHeight="1">
      <ns0:c r="A13" s="11" t="n"/>
      <ns0:c r="B13" s="19" t="inlineStr">
        <ns0:is>
          <ns0:t>Partnerships / source rights</ns0:t>
        </ns0:is>
      </ns0:c>
      <ns0:c r="C13" s="23" t="n">
        <ns0:v>1000</ns0:v>
      </ns0:c>
      <ns0:c r="D13" s="23" t="n">
        <ns0:v>2000</ns0:v>
      </ns0:c>
      <ns0:c r="E13" s="23" t="n">
        <ns0:v>3000</ns0:v>
      </ns0:c>
      <ns0:c r="F13" s="23" t="n">
        <ns0:v>5000</ns0:v>
      </ns0:c>
      <ns0:c r="G13" s="23" t="n">
        <ns0:v>8000</ns0:v>
      </ns0:c>
      <ns0:c r="H13" s="24">
        <ns0:f>SUM(C13:G13)</ns0:f>
        <ns0:v>19000</ns0:v>
      </ns0:c>
      <ns0:c r="I13" s="19" t="n"/>
      <ns0:c r="J13" s="19" t="n"/>
      <ns0:c r="K13" s="19" t="n"/>
      <ns0:c r="L13" s="19" t="n"/>
      <ns0:c r="M13" s="19" t="n"/>
      <ns0:c r="N13" s="19" t="n"/>
      <ns0:c r="O13" s="19" t="n"/>
      <ns0:c r="P13" s="11" t="n"/>
    </ns0:row>
    <ns0:row r="14" ht="32" customHeight="1">
      <ns0:c r="A14" s="11" t="n"/>
      <ns0:c r="B14" s="19" t="inlineStr">
        <ns0:is>
          <ns0:t>Legal, company &amp; app-store setup</ns0:t>
        </ns0:is>
      </ns0:c>
      <ns0:c r="C14" s="24">
        <ns0:f>'Legal and Setup'!B11</ns0:f>
        <ns0:v>6030.95</ns0:v>
      </ns0:c>
      <ns0:c r="D14" s="24">
        <ns0:f>'Legal and Setup'!C11</ns0:f>
        <ns0:v>1700</ns0:v>
      </ns0:c>
      <ns0:c r="E14" s="24">
        <ns0:f>'Legal and Setup'!D11</ns0:f>
        <ns0:v>800</ns0:v>
      </ns0:c>
      <ns0:c r="F14" s="24">
        <ns0:f>'Legal and Setup'!E11</ns0:f>
        <ns0:v>400</ns0:v>
      </ns0:c>
      <ns0:c r="G14" s="24">
        <ns0:f>'Legal and Setup'!F11</ns0:f>
        <ns0:v>400</ns0:v>
      </ns0:c>
      <ns0:c r="H14" s="24">
        <ns0:f>SUM(C14:G14)</ns0:f>
        <ns0:v>9330.95</ns0:v>
      </ns0:c>
      <ns0:c r="I14" s="19" t="n"/>
      <ns0:c r="J14" s="19" t="n"/>
      <ns0:c r="K14" s="19" t="n"/>
      <ns0:c r="L14" s="19" t="n"/>
      <ns0:c r="M14" s="19" t="n"/>
      <ns0:c r="N14" s="19" t="n"/>
      <ns0:c r="O14" s="19" t="n"/>
      <ns0:c r="P14" s="11" t="n"/>
    </ns0:row>
    <ns0:row r="15" ht="32" customHeight="1">
      <ns0:c r="A15" s="11" t="n"/>
      <ns0:c r="B15" s="25" t="inlineStr">
        <ns0:is>
          <ns0:t>Reserve — 20% contingency</ns0:t>
        </ns0:is>
      </ns0:c>
      <ns0:c r="C15" s="26">
        <ns0:f>C21*Assumptions!B12</ns0:f>
        <ns0:v>52436.189999999995</ns0:v>
      </ns0:c>
      <ns0:c r="D15" s="26">
        <ns0:f>D21*Assumptions!B12</ns0:f>
        <ns0:v>66248.0</ns0:v>
      </ns0:c>
      <ns0:c r="E15" s="26">
        <ns0:f>E21*Assumptions!B12</ns0:f>
        <ns0:v>125916.0</ns0:v>
      </ns0:c>
      <ns0:c r="F15" s="26">
        <ns0:f>F21*Assumptions!B12</ns0:f>
        <ns0:v>239968.80000000002</ns0:v>
      </ns0:c>
      <ns0:c r="G15" s="26">
        <ns0:f>G21*Assumptions!B12</ns0:f>
        <ns0:v>484544.0</ns0:v>
      </ns0:c>
      <ns0:c r="H15" s="26">
        <ns0:f>SUM(C15:G15)</ns0:f>
        <ns0:v>969112.99</ns0:v>
      </ns0:c>
      <ns0:c r="I15" s="19" t="n"/>
      <ns0:c r="J15" s="19" t="n"/>
      <ns0:c r="K15" s="19" t="n"/>
      <ns0:c r="L15" s="19" t="n"/>
      <ns0:c r="M15" s="19" t="n"/>
      <ns0:c r="N15" s="19" t="n"/>
      <ns0:c r="O15" s="19" t="n"/>
      <ns0:c r="P15" s="11" t="n"/>
    </ns0:row>
    <ns0:row r="16" ht="32" customHeight="1">
      <ns0:c r="A16" s="11" t="n"/>
      <ns0:c r="B16" s="19" t="inlineStr">
        <ns0:is>
          <ns0:t>AI answer generation</ns0:t>
        </ns0:is>
      </ns0:c>
      <ns0:c r="C16" s="24">
        <ns0:f>'Usage and Acquisition'!K2</ns0:f>
        <ns0:v>21600.0</ns0:v>
      </ns0:c>
      <ns0:c r="D16" s="24">
        <ns0:f>'Usage and Acquisition'!K3</ns0:f>
        <ns0:v>66960.0</ns0:v>
      </ns0:c>
      <ns0:c r="E16" s="24">
        <ns0:f>'Usage and Acquisition'!K4</ns0:f>
        <ns0:v>133920.0</ns0:v>
      </ns0:c>
      <ns0:c r="F16" s="24">
        <ns0:f>'Usage and Acquisition'!K5</ns0:f>
        <ns0:v>241920.0</ns0:v>
      </ns0:c>
      <ns0:c r="G16" s="24">
        <ns0:f>'Usage and Acquisition'!K6</ns0:f>
        <ns0:v>535680.0</ns0:v>
      </ns0:c>
      <ns0:c r="H16" s="24">
        <ns0:f>SUM(C16:G16)</ns0:f>
        <ns0:v>1000080.0</ns0:v>
      </ns0:c>
      <ns0:c r="I16" s="19" t="n"/>
      <ns0:c r="J16" s="19" t="n"/>
      <ns0:c r="K16" s="19" t="n"/>
      <ns0:c r="L16" s="19" t="n"/>
      <ns0:c r="M16" s="19" t="n"/>
      <ns0:c r="N16" s="19" t="n"/>
      <ns0:c r="O16" s="19" t="n"/>
      <ns0:c r="P16" s="11" t="n"/>
    </ns0:row>
    <ns0:row r="17" ht="32" customHeight="1">
      <ns0:c r="A17" s="11" t="n"/>
      <ns0:c r="B17" s="11" t="inlineStr">
        <ns0:is>
          <ns0:t>Hosting / database / monitoring</ns0:t>
        </ns0:is>
      </ns0:c>
      <ns0:c r="C17" s="27">
        <ns0:f>Assumptions!B18+'Usage and Acquisition'!J2/1000*Assumptions!B17</ns0:f>
        <ns0:v>1580.0</ns0:v>
      </ns0:c>
      <ns0:c r="D17" s="27">
        <ns0:f>Assumptions!B18+'Usage and Acquisition'!J3/1000*Assumptions!B17</ns0:f>
        <ns0:v>3848.0</ns0:v>
      </ns0:c>
      <ns0:c r="E17" s="27">
        <ns0:f>Assumptions!B18+'Usage and Acquisition'!J4/1000*Assumptions!B17</ns0:f>
        <ns0:v>7196.0</ns0:v>
      </ns0:c>
      <ns0:c r="F17" s="27">
        <ns0:f>Assumptions!B18+'Usage and Acquisition'!J5/1000*Assumptions!B17</ns0:f>
        <ns0:v>12596.0</ns0:v>
      </ns0:c>
      <ns0:c r="G17" s="27">
        <ns0:f>Assumptions!B18+'Usage and Acquisition'!J6/1000*Assumptions!B17</ns0:f>
        <ns0:v>27284.0</ns0:v>
      </ns0:c>
      <ns0:c r="H17" s="27">
        <ns0:f>SUM(C17:G17)</ns0:f>
        <ns0:v>52504.0</ns0:v>
      </ns0:c>
      <ns0:c r="I17" s="11" t="n"/>
      <ns0:c r="J17" s="11" t="n"/>
      <ns0:c r="K17" s="11" t="n"/>
      <ns0:c r="L17" s="11" t="n"/>
      <ns0:c r="M17" s="11" t="n"/>
      <ns0:c r="N17" s="11" t="n"/>
      <ns0:c r="O17" s="11" t="n"/>
      <ns0:c r="P17" s="11" t="n"/>
    </ns0:row>
    <ns0:row r="18" ht="32" customHeight="1">
      <ns0:c r="A18" s="11" t="n"/>
      <ns0:c r="B18" s="11" t="inlineStr">
        <ns0:is>
          <ns0:t>App maintenance / QA / security</ns0:t>
        </ns0:is>
      </ns0:c>
      <ns0:c r="C18" s="28" t="n">
        <ns0:v>2000</ns0:v>
      </ns0:c>
      <ns0:c r="D18" s="28" t="n">
        <ns0:v>3000</ns0:v>
      </ns0:c>
      <ns0:c r="E18" s="28" t="n">
        <ns0:v>4500</ns0:v>
      </ns0:c>
      <ns0:c r="F18" s="28" t="n">
        <ns0:v>6000</ns0:v>
      </ns0:c>
      <ns0:c r="G18" s="28" t="n">
        <ns0:v>8000</ns0:v>
      </ns0:c>
      <ns0:c r="H18" s="27">
        <ns0:f>SUM(C18:G18)</ns0:f>
        <ns0:v>23500</ns0:v>
      </ns0:c>
      <ns0:c r="I18" s="11" t="n"/>
      <ns0:c r="J18" s="11" t="n"/>
      <ns0:c r="K18" s="11" t="n"/>
      <ns0:c r="L18" s="11" t="n"/>
      <ns0:c r="M18" s="11" t="n"/>
      <ns0:c r="N18" s="11" t="n"/>
      <ns0:c r="O18" s="11" t="n"/>
      <ns0:c r="P18" s="11" t="n"/>
    </ns0:row>
    <ns0:row r="19" ht="32" customHeight="1">
      <ns0:c r="A19" s="11" t="n"/>
      <ns0:c r="B19" s="11" t="inlineStr">
        <ns0:is>
          <ns0:t>Ad creative &amp; campaign management</ns0:t>
        </ns0:is>
      </ns0:c>
      <ns0:c r="C19" s="27">
        <ns0:f>1500+C10*8%</ns0:f>
        <ns0:v>16620.0</ns0:v>
      </ns0:c>
      <ns0:c r="D19" s="27">
        <ns0:f>1500+D10*8%</ns0:f>
        <ns0:v>18132.0</ns0:v>
      </ns0:c>
      <ns0:c r="E19" s="27">
        <ns0:f>1500+E10*8%</ns0:f>
        <ns0:v>34764.0</ns0:v>
      </ns0:c>
      <ns0:c r="F19" s="27">
        <ns0:f>1500+F10*8%</ns0:f>
        <ns0:v>68028.0</ns0:v>
      </ns0:c>
      <ns0:c r="G19" s="27">
        <ns0:f>1500+G10*8%</ns0:f>
        <ns0:v>134556.0</ns0:v>
      </ns0:c>
      <ns0:c r="H19" s="27">
        <ns0:f>SUM(C19:G19)</ns0:f>
        <ns0:v>272100.0</ns0:v>
      </ns0:c>
      <ns0:c r="I19" s="11" t="n"/>
      <ns0:c r="J19" s="11" t="n"/>
      <ns0:c r="K19" s="11" t="n"/>
      <ns0:c r="L19" s="11" t="n"/>
      <ns0:c r="M19" s="11" t="n"/>
      <ns0:c r="N19" s="11" t="n"/>
      <ns0:c r="O19" s="11" t="n"/>
      <ns0:c r="P19" s="11" t="n"/>
    </ns0:row>
    <ns0:row r="20" ht="32" customHeight="1">
      <ns0:c r="A20" s="11" t="n"/>
      <ns0:c r="B20" s="11" t="inlineStr">
        <ns0:is>
          <ns0:t>Tools, insurance &amp; devices</ns0:t>
        </ns0:is>
      </ns0:c>
      <ns0:c r="C20" s="28" t="n">
        <ns0:v>3000</ns0:v>
      </ns0:c>
      <ns0:c r="D20" s="28" t="n">
        <ns0:v>1000</ns0:v>
      </ns0:c>
      <ns0:c r="E20" s="28" t="n">
        <ns0:v>1200</ns0:v>
      </ns0:c>
      <ns0:c r="F20" s="28" t="n">
        <ns0:v>1500</ns0:v>
      </ns0:c>
      <ns0:c r="G20" s="28" t="n">
        <ns0:v>2000</ns0:v>
      </ns0:c>
      <ns0:c r="H20" s="27">
        <ns0:f>SUM(C20:G20)</ns0:f>
        <ns0:v>8700</ns0:v>
      </ns0:c>
      <ns0:c r="I20" s="11" t="n"/>
      <ns0:c r="J20" s="11" t="n"/>
      <ns0:c r="K20" s="11" t="n"/>
      <ns0:c r="L20" s="11" t="n"/>
      <ns0:c r="M20" s="11" t="n"/>
      <ns0:c r="N20" s="11" t="n"/>
      <ns0:c r="O20" s="11" t="n"/>
      <ns0:c r="P20" s="11" t="n"/>
    </ns0:row>
    <ns0:row r="21" ht="32" customHeight="1">
      <ns0:c r="A21" s="11" t="n"/>
      <ns0:c r="B21" s="29" t="inlineStr">
        <ns0:is>
          <ns0:t>Operating subtotal</ns0:t>
        </ns0:is>
      </ns0:c>
      <ns0:c r="C21" s="30">
        <ns0:f>SUM(C9:C14,C16:C20)</ns0:f>
        <ns0:v>262180.94999999995</ns0:v>
      </ns0:c>
      <ns0:c r="D21" s="30">
        <ns0:f>SUM(D9:D14,D16:D20)</ns0:f>
        <ns0:v>331240.0</ns0:v>
      </ns0:c>
      <ns0:c r="E21" s="30">
        <ns0:f>SUM(E9:E14,E16:E20)</ns0:f>
        <ns0:v>629580.0</ns0:v>
      </ns0:c>
      <ns0:c r="F21" s="30">
        <ns0:f>SUM(F9:F14,F16:F20)</ns0:f>
        <ns0:v>1199844.0</ns0:v>
      </ns0:c>
      <ns0:c r="G21" s="30">
        <ns0:f>SUM(G9:G14,G16:G20)</ns0:f>
        <ns0:v>2422720.0</ns0:v>
      </ns0:c>
      <ns0:c r="H21" s="30">
        <ns0:f>SUM(C21:G21)</ns0:f>
        <ns0:v>4845564.95</ns0:v>
      </ns0:c>
      <ns0:c r="I21" s="11" t="n"/>
      <ns0:c r="J21" s="11" t="n"/>
      <ns0:c r="K21" s="11" t="n"/>
      <ns0:c r="L21" s="11" t="n"/>
      <ns0:c r="M21" s="11" t="n"/>
      <ns0:c r="N21" s="11" t="n"/>
      <ns0:c r="O21" s="11" t="n"/>
      <ns0:c r="P21" s="11" t="n"/>
    </ns0:row>
    <ns0:row r="22" ht="32" customHeight="1">
      <ns0:c r="A22" s="11" t="n"/>
      <ns0:c r="B22" s="29" t="inlineStr">
        <ns0:is>
          <ns0:t>Total cash budget</ns0:t>
        </ns0:is>
      </ns0:c>
      <ns0:c r="C22" s="30">
        <ns0:f>C21+C15</ns0:f>
        <ns0:v>314617.13999999996</ns0:v>
      </ns0:c>
      <ns0:c r="D22" s="30">
        <ns0:f>D21+D15</ns0:f>
        <ns0:v>397488.0</ns0:v>
      </ns0:c>
      <ns0:c r="E22" s="30">
        <ns0:f>E21+E15</ns0:f>
        <ns0:v>755496.0</ns0:v>
      </ns0:c>
      <ns0:c r="F22" s="30">
        <ns0:f>F21+F15</ns0:f>
        <ns0:v>1439812.8</ns0:v>
      </ns0:c>
      <ns0:c r="G22" s="30">
        <ns0:f>G21+G15</ns0:f>
        <ns0:v>2907264.0</ns0:v>
      </ns0:c>
      <ns0:c r="H22" s="30">
        <ns0:f>SUM(C22:G22)</ns0:f>
        <ns0:v>5814677.9399999995</ns0:v>
      </ns0:c>
      <ns0:c r="I22" s="11" t="n"/>
      <ns0:c r="J22" s="11" t="n"/>
      <ns0:c r="K22" s="11" t="n"/>
      <ns0:c r="L22" s="11" t="n"/>
      <ns0:c r="M22" s="11" t="n"/>
      <ns0:c r="N22" s="11" t="n"/>
      <ns0:c r="O22" s="11" t="n"/>
      <ns0:c r="P22" s="11" t="n"/>
    </ns0:row>
    <ns0:row r="23" ht="32" customHeight="1">
      <ns0:c r="A23" s="11" t="n"/>
      <ns0:c r="B23" s="29" t="inlineStr">
        <ns0:is>
          <ns0:t>Cumulative cash budget</ns0:t>
        </ns0:is>
      </ns0:c>
      <ns0:c r="C23" s="30">
        <ns0:f>SUM($C22:C22)</ns0:f>
        <ns0:v>314617.13999999996</ns0:v>
      </ns0:c>
      <ns0:c r="D23" s="30">
        <ns0:f>SUM($C22:D22)</ns0:f>
        <ns0:v>712105.1399999999</ns0:v>
      </ns0:c>
      <ns0:c r="E23" s="30">
        <ns0:f>SUM($C22:E22)</ns0:f>
        <ns0:v>1467601.14</ns0:v>
      </ns0:c>
      <ns0:c r="F23" s="30">
        <ns0:f>SUM($C22:F22)</ns0:f>
        <ns0:v>2907413.94</ns0:v>
      </ns0:c>
      <ns0:c r="G23" s="30">
        <ns0:f>SUM($C22:G22)</ns0:f>
        <ns0:v>5814677.9399999995</ns0:v>
      </ns0:c>
      <ns0:c r="H23" s="30" t="n"/>
      <ns0:c r="I23" s="11" t="n"/>
      <ns0:c r="J23" s="11" t="n"/>
      <ns0:c r="K23" s="11" t="n"/>
      <ns0:c r="L23" s="11" t="n"/>
      <ns0:c r="M23" s="11" t="n"/>
      <ns0:c r="N23" s="11" t="n"/>
      <ns0:c r="O23" s="11" t="n"/>
      <ns0:c r="P23" s="11" t="n"/>
    </ns0:row>
    <ns0:row r="24" ht="32" customHeight="1">
      <ns0:c r="A24" s="11" t="n"/>
      <ns0:c r="B24" s="11" t="n"/>
      <ns0:c r="C24" s="11" t="n"/>
      <ns0:c r="D24" s="11" t="n"/>
      <ns0:c r="E24" s="11" t="n"/>
      <ns0:c r="F24" s="11" t="n"/>
      <ns0:c r="G24" s="11" t="n"/>
      <ns0:c r="H24" s="11" t="n"/>
      <ns0:c r="I24" s="11" t="n"/>
      <ns0:c r="J24" s="11" t="n"/>
      <ns0:c r="K24" s="11" t="n"/>
      <ns0:c r="L24" s="11" t="n"/>
      <ns0:c r="M24" s="11" t="n"/>
      <ns0:c r="N24" s="11" t="n"/>
      <ns0:c r="O24" s="11" t="n"/>
      <ns0:c r="P24" s="11" t="n"/>
    </ns0:row>
    <ns0:row r="25" ht="45" customHeight="1">
      <ns0:c r="A25" s="11" t="n"/>
      <ns0:c r="B25" s="11" t="inlineStr">
        <ns0:is>
          <ns0:t>April–October intentionally not budgeted. Original Template preserves the uploaded sheet unchanged.</ns0:t>
        </ns0:is>
      </ns0:c>
      <ns0:c r="C25" s="11" t="n"/>
      <ns0:c r="D25" s="11" t="n"/>
      <ns0:c r="E25" s="11" t="n"/>
      <ns0:c r="F25" s="11" t="n"/>
      <ns0:c r="G25" s="11" t="n"/>
      <ns0:c r="H25" s="11" t="n"/>
      <ns0:c r="I25" s="11" t="n"/>
      <ns0:c r="J25" s="11" t="n"/>
      <ns0:c r="K25" s="11" t="n"/>
      <ns0:c r="L25" s="11" t="n"/>
      <ns0:c r="M25" s="11" t="n"/>
      <ns0:c r="N25" s="11" t="n"/>
      <ns0:c r="O25" s="11" t="n"/>
      <ns0:c r="P25" s="11" t="n"/>
    </ns0:row>
    <ns0:row r="26" ht="45" customHeight="1">
      <ns0:c r="A26" s="11" t="n"/>
      <ns0:c r="B26" s="11" t="inlineStr">
        <ns0:is>
          <ns0:t>Estimates, not vendor quotes or a capacity guarantee. No revenue, subscriptions or profit assumed.</ns0:t>
        </ns0:is>
      </ns0:c>
      <ns0:c r="C26" s="11" t="n"/>
      <ns0:c r="D26" s="11" t="n"/>
      <ns0:c r="E26" s="11" t="n"/>
      <ns0:c r="F26" s="11" t="n"/>
      <ns0:c r="G26" s="11" t="n"/>
      <ns0:c r="H26" s="11" t="n"/>
      <ns0:c r="I26" s="11" t="n"/>
      <ns0:c r="J26" s="11" t="n"/>
      <ns0:c r="K26" s="11" t="n"/>
      <ns0:c r="L26" s="11" t="n"/>
      <ns0:c r="M26" s="11" t="n"/>
      <ns0:c r="N26" s="11" t="n"/>
      <ns0:c r="O26" s="11" t="n"/>
      <ns0:c r="P26" s="11" t="n"/>
    </ns0:row>
    <ns0:row r="27" ht="45" customHeight="1">
      <ns0:c r="A27" s="11" t="n"/>
      <ns0:c r="B27" s="11" t="inlineStr">
        <ns0:is>
          <ns0:t>Peak targets are month-end; usage costs use a linear within-month ramp. March full run-rate AI cost is higher.</ns0:t>
        </ns0:is>
      </ns0:c>
      <ns0:c r="C27" s="11" t="n"/>
      <ns0:c r="D27" s="11" t="n"/>
      <ns0:c r="E27" s="11" t="n"/>
      <ns0:c r="F27" s="11" t="n"/>
      <ns0:c r="G27" s="11" t="n"/>
      <ns0:c r="H27" s="11" t="n"/>
      <ns0:c r="I27" s="11" t="n"/>
      <ns0:c r="J27" s="11" t="n"/>
      <ns0:c r="K27" s="11" t="n"/>
      <ns0:c r="L27" s="11" t="n"/>
      <ns0:c r="M27" s="11" t="n"/>
      <ns0:c r="N27" s="11" t="n"/>
      <ns0:c r="O27" s="11" t="n"/>
      <ns0:c r="P27" s="11" t="n"/>
    </ns0:row>
  </ns0:sheetData>
  <ns0:mergeCells count="4">
    <ns0:mergeCell ref="B3:O3"/>
    <ns0:mergeCell ref="B27:H27"/>
    <ns0:mergeCell ref="B26:H26"/>
    <ns0:mergeCell ref="B25:H25"/>
  </ns0:mergeCells>
  <ns0:printOptions horizontalCentered="1"/>
  <ns0:pageMargins left="0.7" right="0.7" top="0.75" bottom="0.75" header="0.3" footer="0.3"/>
  <ns0:pageSetup orientation="landscape" paperSize="8" fitToHeight="0" fitToWidth="1"/>
  <ns0:legacyDrawing ns1:id="anysvml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P16"/>
  <ns0:sheetViews>
    <ns0:sheetView workbookViewId="0">
      <ns0:selection activeCell="A1" sqref="A1"/>
    </ns0:sheetView>
  </ns0:sheetViews>
  <ns0:sheetFormatPr baseColWidth="8" defaultRowHeight="14.4"/>
  <ns0:cols>
    <ns0:col width="8.88671875" customWidth="1" style="1" min="1" max="1"/>
    <ns0:col width="14.21875" customWidth="1" style="1" min="2" max="2"/>
    <ns0:col width="8.88671875" customWidth="1" style="1" min="3" max="16384"/>
  </ns0:cols>
  <ns0:sheetData>
    <ns0:row r="3">
      <ns0:c r="B3" s="31" t="inlineStr">
        <ns0:is>
          <ns0:t>IQRA Yearly plan</ns0:t>
        </ns0:is>
      </ns0:c>
      <ns0:c r="C3" s="32" t="n"/>
      <ns0:c r="D3" s="32" t="n"/>
      <ns0:c r="E3" s="32" t="n"/>
      <ns0:c r="F3" s="32" t="n"/>
      <ns0:c r="G3" s="32" t="n"/>
      <ns0:c r="H3" s="32" t="n"/>
      <ns0:c r="I3" s="32" t="n"/>
      <ns0:c r="J3" s="32" t="n"/>
      <ns0:c r="K3" s="32" t="n"/>
      <ns0:c r="L3" s="32" t="n"/>
      <ns0:c r="M3" s="32" t="n"/>
      <ns0:c r="N3" s="32" t="n"/>
      <ns0:c r="O3" s="33" t="n"/>
    </ns0:row>
    <ns0:row r="4">
      <ns0:c r="B4" s="8" t="n"/>
      <ns0:c r="C4" s="8" t="inlineStr">
        <ns0:is>
          <ns0:t>Month 1</ns0:t>
        </ns0:is>
      </ns0:c>
      <ns0:c r="D4" s="8" t="inlineStr">
        <ns0:is>
          <ns0:t>Month 2</ns0:t>
        </ns0:is>
      </ns0:c>
      <ns0:c r="E4" s="8" t="inlineStr">
        <ns0:is>
          <ns0:t>Month 3</ns0:t>
        </ns0:is>
      </ns0:c>
      <ns0:c r="F4" s="8" t="inlineStr">
        <ns0:is>
          <ns0:t>Month 4</ns0:t>
        </ns0:is>
      </ns0:c>
      <ns0:c r="G4" s="8" t="inlineStr">
        <ns0:is>
          <ns0:t>Month 5</ns0:t>
        </ns0:is>
      </ns0:c>
      <ns0:c r="H4" s="8" t="inlineStr">
        <ns0:is>
          <ns0:t>Month 6</ns0:t>
        </ns0:is>
      </ns0:c>
      <ns0:c r="I4" s="8" t="inlineStr">
        <ns0:is>
          <ns0:t>Month 7</ns0:t>
        </ns0:is>
      </ns0:c>
      <ns0:c r="J4" s="8" t="inlineStr">
        <ns0:is>
          <ns0:t>Month 8</ns0:t>
        </ns0:is>
      </ns0:c>
      <ns0:c r="K4" s="8" t="inlineStr">
        <ns0:is>
          <ns0:t>Month 9</ns0:t>
        </ns0:is>
      </ns0:c>
      <ns0:c r="L4" s="8" t="inlineStr">
        <ns0:is>
          <ns0:t>Month 10</ns0:t>
        </ns0:is>
      </ns0:c>
      <ns0:c r="M4" s="8" t="inlineStr">
        <ns0:is>
          <ns0:t>Month 11</ns0:t>
        </ns0:is>
      </ns0:c>
      <ns0:c r="N4" s="8" t="inlineStr">
        <ns0:is>
          <ns0:t>Month 12</ns0:t>
        </ns0:is>
      </ns0:c>
      <ns0:c r="O4" s="8" t="n"/>
    </ns0:row>
    <ns0:row r="5">
      <ns0:c r="B5" s="8" t="n"/>
      <ns0:c r="C5" s="9" t="inlineStr">
        <ns0:is>
          <ns0:t>Nov</ns0:t>
        </ns0:is>
      </ns0:c>
      <ns0:c r="D5" s="9" t="inlineStr">
        <ns0:is>
          <ns0:t>Dec</ns0:t>
        </ns0:is>
      </ns0:c>
      <ns0:c r="E5" s="8" t="inlineStr">
        <ns0:is>
          <ns0:t>Jan</ns0:t>
        </ns0:is>
      </ns0:c>
      <ns0:c r="F5" s="9" t="inlineStr">
        <ns0:is>
          <ns0:t>Feb</ns0:t>
        </ns0:is>
      </ns0:c>
      <ns0:c r="G5" s="9" t="inlineStr">
        <ns0:is>
          <ns0:t>Mar</ns0:t>
        </ns0:is>
      </ns0:c>
      <ns0:c r="H5" s="8" t="inlineStr">
        <ns0:is>
          <ns0:t>Apr</ns0:t>
        </ns0:is>
      </ns0:c>
      <ns0:c r="I5" s="9" t="inlineStr">
        <ns0:is>
          <ns0:t>May</ns0:t>
        </ns0:is>
      </ns0:c>
      <ns0:c r="J5" s="9" t="inlineStr">
        <ns0:is>
          <ns0:t>Jun</ns0:t>
        </ns0:is>
      </ns0:c>
      <ns0:c r="K5" s="8" t="inlineStr">
        <ns0:is>
          <ns0:t>Jul</ns0:t>
        </ns0:is>
      </ns0:c>
      <ns0:c r="L5" s="9" t="inlineStr">
        <ns0:is>
          <ns0:t>Aug</ns0:t>
        </ns0:is>
      </ns0:c>
      <ns0:c r="M5" s="9" t="inlineStr">
        <ns0:is>
          <ns0:t>Sep</ns0:t>
        </ns0:is>
      </ns0:c>
      <ns0:c r="N5" s="8" t="inlineStr">
        <ns0:is>
          <ns0:t>Oct</ns0:t>
        </ns0:is>
      </ns0:c>
      <ns0:c r="O5" s="8" t="n"/>
    </ns0:row>
    <ns0:row r="6">
      <ns0:c r="B6" s="3" t="inlineStr">
        <ns0:is>
          <ns0:t xml:space="preserve">User </ns0:t>
        </ns0:is>
      </ns0:c>
      <ns0:c r="C6" s="2" t="n">
        <ns0:v>1000</ns0:v>
      </ns0:c>
      <ns0:c r="D6" s="2">
        <ns0:f>C6*2</ns0:f>
        <ns0:v/>
      </ns0:c>
      <ns0:c r="E6" s="2">
        <ns0:f>D6*2</ns0:f>
        <ns0:v/>
      </ns0:c>
      <ns0:c r="F6" s="2">
        <ns0:f>E6*2</ns0:f>
        <ns0:v/>
      </ns0:c>
      <ns0:c r="G6" s="2">
        <ns0:f>F6*2</ns0:f>
        <ns0:v/>
      </ns0:c>
      <ns0:c r="H6" s="2">
        <ns0:f>G6*2</ns0:f>
        <ns0:v/>
      </ns0:c>
      <ns0:c r="I6" s="2">
        <ns0:f>H6*2</ns0:f>
        <ns0:v/>
      </ns0:c>
      <ns0:c r="J6" s="2">
        <ns0:f>I6*2</ns0:f>
        <ns0:v/>
      </ns0:c>
      <ns0:c r="K6" s="2">
        <ns0:f>J6*2</ns0:f>
        <ns0:v/>
      </ns0:c>
      <ns0:c r="L6" s="2">
        <ns0:f>K6*2</ns0:f>
        <ns0:v/>
      </ns0:c>
      <ns0:c r="M6" s="2">
        <ns0:f>L6*2</ns0:f>
        <ns0:v/>
      </ns0:c>
      <ns0:c r="N6" s="2">
        <ns0:f>M6*2</ns0:f>
        <ns0:v/>
      </ns0:c>
      <ns0:c r="O6" s="10">
        <ns0:f>SUM(C6:N6)</ns0:f>
        <ns0:v/>
      </ns0:c>
      <ns0:c r="P6" s="1" t="n">
        <ns0:v>4095000</ns0:v>
      </ns0:c>
    </ns0:row>
    <ns0:row r="7">
      <ns0:c r="B7" s="3" t="inlineStr">
        <ns0:is>
          <ns0:t>KPI</ns0:t>
        </ns0:is>
      </ns0:c>
      <ns0:c r="C7" s="2" t="n"/>
      <ns0:c r="D7" s="2" t="n"/>
      <ns0:c r="E7" s="2" t="n"/>
      <ns0:c r="F7" s="2" t="n"/>
      <ns0:c r="G7" s="2" t="n"/>
      <ns0:c r="H7" s="2" t="n"/>
      <ns0:c r="I7" s="2" t="n"/>
      <ns0:c r="J7" s="2" t="n"/>
      <ns0:c r="K7" s="2" t="n"/>
      <ns0:c r="L7" s="2" t="n"/>
      <ns0:c r="M7" s="2" t="n"/>
      <ns0:c r="N7" s="2" t="n"/>
      <ns0:c r="O7" s="2" t="n"/>
    </ns0:row>
    <ns0:row r="8">
      <ns0:c r="B8" s="4" t="inlineStr">
        <ns0:is>
          <ns0:t>Expenses</ns0:t>
        </ns0:is>
      </ns0:c>
      <ns0:c r="C8" s="2" t="n"/>
      <ns0:c r="D8" s="2" t="n"/>
      <ns0:c r="E8" s="2" t="n"/>
      <ns0:c r="F8" s="2" t="n"/>
      <ns0:c r="G8" s="2" t="n"/>
      <ns0:c r="H8" s="2" t="n"/>
      <ns0:c r="I8" s="2" t="n"/>
      <ns0:c r="J8" s="2" t="n"/>
      <ns0:c r="K8" s="2" t="n"/>
      <ns0:c r="L8" s="2" t="n"/>
      <ns0:c r="M8" s="2" t="n"/>
      <ns0:c r="N8" s="2" t="n"/>
      <ns0:c r="O8" s="2" t="n"/>
    </ns0:row>
    <ns0:row r="9">
      <ns0:c r="B9" s="3" t="inlineStr">
        <ns0:is>
          <ns0:t xml:space="preserve">Tech </ns0:t>
        </ns0:is>
      </ns0:c>
      <ns0:c r="C9" s="2" t="n"/>
      <ns0:c r="D9" s="2" t="n"/>
      <ns0:c r="E9" s="2" t="n"/>
      <ns0:c r="F9" s="2" t="n"/>
      <ns0:c r="G9" s="2" t="n"/>
      <ns0:c r="H9" s="2" t="n"/>
      <ns0:c r="I9" s="2" t="n"/>
      <ns0:c r="J9" s="2" t="n"/>
      <ns0:c r="K9" s="2" t="n"/>
      <ns0:c r="L9" s="2" t="n"/>
      <ns0:c r="M9" s="2" t="n"/>
      <ns0:c r="N9" s="2" t="n"/>
      <ns0:c r="O9" s="2" t="n"/>
    </ns0:row>
    <ns0:row r="10">
      <ns0:c r="B10" s="3" t="inlineStr">
        <ns0:is>
          <ns0:t>Promotion</ns0:t>
        </ns0:is>
      </ns0:c>
      <ns0:c r="C10" s="2" t="n"/>
      <ns0:c r="D10" s="2" t="n"/>
      <ns0:c r="E10" s="2" t="n"/>
      <ns0:c r="F10" s="2" t="n"/>
      <ns0:c r="G10" s="2" t="n"/>
      <ns0:c r="H10" s="2" t="n"/>
      <ns0:c r="I10" s="2" t="n"/>
      <ns0:c r="J10" s="2" t="n"/>
      <ns0:c r="K10" s="2" t="n"/>
      <ns0:c r="L10" s="2" t="n"/>
      <ns0:c r="M10" s="2" t="n"/>
      <ns0:c r="N10" s="2" t="n"/>
      <ns0:c r="O10" s="2" t="n"/>
    </ns0:row>
    <ns0:row r="11">
      <ns0:c r="B11" s="3" t="inlineStr">
        <ns0:is>
          <ns0:t>Isnad board</ns0:t>
        </ns0:is>
      </ns0:c>
      <ns0:c r="C11" s="2" t="n"/>
      <ns0:c r="D11" s="2" t="n"/>
      <ns0:c r="E11" s="2" t="n"/>
      <ns0:c r="F11" s="2" t="n"/>
      <ns0:c r="G11" s="2" t="n"/>
      <ns0:c r="H11" s="2" t="n"/>
      <ns0:c r="I11" s="2" t="n"/>
      <ns0:c r="J11" s="2" t="n"/>
      <ns0:c r="K11" s="2" t="n"/>
      <ns0:c r="L11" s="2" t="n"/>
      <ns0:c r="M11" s="2" t="n"/>
      <ns0:c r="N11" s="2" t="n"/>
      <ns0:c r="O11" s="2" t="n"/>
    </ns0:row>
    <ns0:row r="12">
      <ns0:c r="B12" s="3" t="inlineStr">
        <ns0:is>
          <ns0:t>HR</ns0:t>
        </ns0:is>
      </ns0:c>
      <ns0:c r="C12" s="2" t="n"/>
      <ns0:c r="D12" s="2" t="n"/>
      <ns0:c r="E12" s="2" t="n"/>
      <ns0:c r="F12" s="2" t="n"/>
      <ns0:c r="G12" s="2" t="n"/>
      <ns0:c r="H12" s="2" t="n"/>
      <ns0:c r="I12" s="2" t="n"/>
      <ns0:c r="J12" s="2" t="n"/>
      <ns0:c r="K12" s="2" t="n"/>
      <ns0:c r="L12" s="2" t="n"/>
      <ns0:c r="M12" s="2" t="n"/>
      <ns0:c r="N12" s="2" t="n"/>
      <ns0:c r="O12" s="2" t="n"/>
    </ns0:row>
    <ns0:row r="13">
      <ns0:c r="B13" s="3" t="inlineStr">
        <ns0:is>
          <ns0:t>Partnership</ns0:t>
        </ns0:is>
      </ns0:c>
      <ns0:c r="C13" s="2" t="n"/>
      <ns0:c r="D13" s="2" t="n"/>
      <ns0:c r="E13" s="2" t="n"/>
      <ns0:c r="F13" s="2" t="n"/>
      <ns0:c r="G13" s="2" t="n"/>
      <ns0:c r="H13" s="2" t="n"/>
      <ns0:c r="I13" s="2" t="n"/>
      <ns0:c r="J13" s="2" t="n"/>
      <ns0:c r="K13" s="2" t="n"/>
      <ns0:c r="L13" s="2" t="n"/>
      <ns0:c r="M13" s="2" t="n"/>
      <ns0:c r="N13" s="2" t="n"/>
      <ns0:c r="O13" s="2" t="n"/>
    </ns0:row>
    <ns0:row r="14">
      <ns0:c r="B14" s="3" t="inlineStr">
        <ns0:is>
          <ns0:t>Legal</ns0:t>
        </ns0:is>
      </ns0:c>
      <ns0:c r="C14" s="2" t="n"/>
      <ns0:c r="D14" s="2" t="n"/>
      <ns0:c r="E14" s="2" t="n"/>
      <ns0:c r="F14" s="2" t="n"/>
      <ns0:c r="G14" s="2" t="n"/>
      <ns0:c r="H14" s="2" t="n"/>
      <ns0:c r="I14" s="2" t="n"/>
      <ns0:c r="J14" s="2" t="n"/>
      <ns0:c r="K14" s="2" t="n"/>
      <ns0:c r="L14" s="2" t="n"/>
      <ns0:c r="M14" s="2" t="n"/>
      <ns0:c r="N14" s="2" t="n"/>
      <ns0:c r="O14" s="2" t="n"/>
    </ns0:row>
    <ns0:row r="15">
      <ns0:c r="B15" s="3" t="inlineStr">
        <ns0:is>
          <ns0:t>Reserve</ns0:t>
        </ns0:is>
      </ns0:c>
      <ns0:c r="C15" s="2" t="n"/>
      <ns0:c r="D15" s="2" t="n"/>
      <ns0:c r="E15" s="2" t="n"/>
      <ns0:c r="F15" s="2" t="n"/>
      <ns0:c r="G15" s="2" t="n"/>
      <ns0:c r="H15" s="2" t="n"/>
      <ns0:c r="I15" s="2" t="n"/>
      <ns0:c r="J15" s="2" t="n"/>
      <ns0:c r="K15" s="2" t="n"/>
      <ns0:c r="L15" s="2" t="n"/>
      <ns0:c r="M15" s="2" t="n"/>
      <ns0:c r="N15" s="2" t="n"/>
      <ns0:c r="O15" s="2" t="n"/>
    </ns0:row>
    <ns0:row r="16">
      <ns0:c r="B16" s="2" t="n"/>
      <ns0:c r="C16" s="2" t="n"/>
      <ns0:c r="D16" s="2" t="n"/>
      <ns0:c r="E16" s="2" t="n"/>
      <ns0:c r="F16" s="2" t="n"/>
      <ns0:c r="G16" s="2" t="n"/>
      <ns0:c r="H16" s="2" t="n"/>
      <ns0:c r="I16" s="2" t="n"/>
      <ns0:c r="J16" s="2" t="n"/>
      <ns0:c r="K16" s="2" t="n"/>
      <ns0:c r="L16" s="2" t="n"/>
      <ns0:c r="M16" s="2" t="n"/>
      <ns0:c r="N16" s="2" t="n"/>
      <ns0:c r="O16" s="2" t="n"/>
    </ns0:row>
  </ns0:sheetData>
  <ns0:mergeCells count="1">
    <ns0:mergeCell ref="B3:O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20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6" customWidth="1" min="1" max="1"/>
    <ns0:col width="22" customWidth="1" min="2" max="2"/>
    <ns0:col width="95" customWidth="1" min="3" max="3"/>
  </ns0:cols>
  <ns0:sheetData>
    <ns0:row r="1" ht="45" customHeight="1">
      <ns0:c r="A1" s="16" t="inlineStr">
        <ns0:is>
          <ns0:t>IQRA operating budget — editable planning inputs</ns0:t>
        </ns0:is>
      </ns0:c>
      <ns0:c r="B1" s="16" t="inlineStr">
        <ns0:is>
          <ns0:t>Value</ns0:t>
        </ns0:is>
      </ns0:c>
      <ns0:c r="C1" s="16" t="inlineStr">
        <ns0:is>
          <ns0:t>Basis / scope</ns0:t>
        </ns0:is>
      </ns0:c>
    </ns0:row>
    <ns0:row r="2" ht="45" customHeight="1">
      <ns0:c r="A2" s="11" t="inlineStr">
        <ns0:is>
          <ns0:t>Peak / average concurrent ratio</ns0:t>
        </ns0:is>
      </ns0:c>
      <ns0:c r="B2" s="34" t="n">
        <ns0:v>4</ns0:v>
      </ns0:c>
      <ns0:c r="C2" s="11" t="inlineStr">
        <ns0:is>
          <ns0:t>Peak online users / 24-hour average; assumption, not measured</ns0:t>
        </ns0:is>
      </ns0:c>
    </ns0:row>
    <ns0:row r="3" ht="45" customHeight="1">
      <ns0:c r="A3" s="11" t="inlineStr">
        <ns0:is>
          <ns0:t>Average session minutes</ns0:t>
        </ns0:is>
      </ns0:c>
      <ns0:c r="B3" s="34" t="n">
        <ns0:v>10</ns0:v>
      </ns0:c>
      <ns0:c r="C3" s="11" t="inlineStr">
        <ns0:is>
          <ns0:t>Active sessions, not background tabs</ns0:t>
        </ns0:is>
      </ns0:c>
    </ns0:row>
    <ns0:row r="4" ht="45" customHeight="1">
      <ns0:c r="A4" s="11" t="inlineStr">
        <ns0:is>
          <ns0:t>Sessions per daily active user</ns0:t>
        </ns0:is>
      </ns0:c>
      <ns0:c r="B4" s="34" t="n">
        <ns0:v>2</ns0:v>
      </ns0:c>
      <ns0:c r="C4" s="11" t="inlineStr">
        <ns0:is>
          <ns0:t>Assumption</ns0:t>
        </ns0:is>
      </ns0:c>
    </ns0:row>
    <ns0:row r="5" ht="45" customHeight="1">
      <ns0:c r="A5" s="11" t="inlineStr">
        <ns0:is>
          <ns0:t>DAU / MAU ratio</ns0:t>
        </ns0:is>
      </ns0:c>
      <ns0:c r="B5" s="35" t="n">
        <ns0:v>0.2</ns0:v>
      </ns0:c>
      <ns0:c r="C5" s="11" t="inlineStr">
        <ns0:is>
          <ns0:t>20% of monthly active users visit on an average day</ns0:t>
        </ns0:is>
      </ns0:c>
    </ns0:row>
    <ns0:row r="6" ht="45" customHeight="1">
      <ns0:c r="A6" s="11" t="inlineStr">
        <ns0:is>
          <ns0:t>Monthly active-user churn</ns0:t>
        </ns0:is>
      </ns0:c>
      <ns0:c r="B6" s="35" t="n">
        <ns0:v>0.1</ns0:v>
      </ns0:c>
      <ns0:c r="C6" s="11" t="inlineStr">
        <ns0:is>
          <ns0:t>Replacement acquisition included</ns0:t>
        </ns0:is>
      </ns0:c>
    </ns0:row>
    <ns0:row r="7" ht="45" customHeight="1">
      <ns0:c r="A7" s="11" t="inlineStr">
        <ns0:is>
          <ns0:t>Paid share of gross MAU acquisition</ns0:t>
        </ns0:is>
      </ns0:c>
      <ns0:c r="B7" s="35" t="n">
        <ns0:v>0.7</ns0:v>
      </ns0:c>
      <ns0:c r="C7" s="11" t="inlineStr">
        <ns0:is>
          <ns0:t>Remaining 30% organic / partnerships; not guaranteed</ns0:t>
        </ns0:is>
      </ns0:c>
    </ns0:row>
    <ns0:row r="8" ht="45" customHeight="1">
      <ns0:c r="A8" s="11" t="inlineStr">
        <ns0:is>
          <ns0:t>Cost per acquired monthly active user USD</ns0:t>
        </ns0:is>
      </ns0:c>
      <ns0:c r="B8" s="34" t="n">
        <ns0:v>3</ns0:v>
      </ns0:c>
      <ns0:c r="C8" s="11" t="inlineStr">
        <ns0:is>
          <ns0:t>Not cost per install; blended geography-dependent assumption</ns0:t>
        </ns0:is>
      </ns0:c>
    </ns0:row>
    <ns0:row r="9" ht="45" customHeight="1">
      <ns0:c r="A9" s="11" t="inlineStr">
        <ns0:is>
          <ns0:t>Answered questions per DAU per day</ns0:t>
        </ns0:is>
      </ns0:c>
      <ns0:c r="B9" s="34" t="n">
        <ns0:v>2</ns0:v>
      </ns0:c>
      <ns0:c r="C9" s="11" t="inlineStr">
        <ns0:is>
          <ns0:t>No subscription cap assumed; no revenue assumed</ns0:t>
        </ns0:is>
      </ns0:c>
    </ns0:row>
    <ns0:row r="10" ht="45" customHeight="1">
      <ns0:c r="A10" s="11" t="inlineStr">
        <ns0:is>
          <ns0:t>AI USD per answered question</ns0:t>
        </ns0:is>
      </ns0:c>
      <ns0:c r="B10" s="34" t="n">
        <ns0:v>0.04</ns0:v>
      </ns0:c>
      <ns0:c r="C10" s="11" t="inlineStr">
        <ns0:is>
          <ns0:t>Planning allowance using current Sonnet setup; not measured bill</ns0:t>
        </ns0:is>
      </ns0:c>
    </ns0:row>
    <ns0:row r="11" ht="45" customHeight="1">
      <ns0:c r="A11" s="11" t="inlineStr">
        <ns0:is>
          <ns0:t>Answer latency seconds</ns0:t>
        </ns0:is>
      </ns0:c>
      <ns0:c r="B11" s="34" t="n">
        <ns0:v>20</ns0:v>
      </ns0:c>
      <ns0:c r="C11" s="11" t="inlineStr">
        <ns0:is>
          <ns0:t>Capacity assumption, not benchmark</ns0:t>
        </ns0:is>
      </ns0:c>
    </ns0:row>
    <ns0:row r="12" ht="45" customHeight="1">
      <ns0:c r="A12" s="11" t="inlineStr">
        <ns0:is>
          <ns0:t>Cash contingency</ns0:t>
        </ns0:is>
      </ns0:c>
      <ns0:c r="B12" s="35" t="n">
        <ns0:v>0.2</ns0:v>
      </ns0:c>
      <ns0:c r="C12" s="11" t="inlineStr">
        <ns0:is>
          <ns0:t>20% of operating expenses; not profit</ns0:t>
        </ns0:is>
      </ns0:c>
    </ns0:row>
    <ns0:row r="13" ht="45" customHeight="1">
      <ns0:c r="A13" s="11" t="inlineStr">
        <ns0:is>
          <ns0:t>USD per SGD</ns0:t>
        </ns0:is>
      </ns0:c>
      <ns0:c r="B13" s="34" t="n">
        <ns0:v>0.78</ns0:v>
      </ns0:c>
      <ns0:c r="C13" s="11" t="inlineStr">
        <ns0:is>
          <ns0:t>Budget FX assumption, not spot quote</ns0:t>
        </ns0:is>
      </ns0:c>
    </ns0:row>
    <ns0:row r="14" ht="45" customHeight="1">
      <ns0:c r="A14" s="11" t="inlineStr">
        <ns0:is>
          <ns0:t>SG GST allowance</ns0:t>
        </ns0:is>
      </ns0:c>
      <ns0:c r="B14" s="35" t="n">
        <ns0:v>0.09</ns0:v>
      </ns0:c>
      <ns0:c r="C14" s="11" t="inlineStr">
        <ns0:is>
          <ns0:t>Conservative allowance on OSOME base quote; confirm inclusive/exclusive</ns0:t>
        </ns0:is>
      </ns0:c>
    </ns0:row>
    <ns0:row r="15" ht="45" customHeight="1">
      <ns0:c r="A15" s="11" t="inlineStr">
        <ns0:is>
          <ns0:t>OSOME indicative SGD package</ns0:t>
        </ns0:is>
      </ns0:c>
      <ns0:c r="B15" s="34" t="n">
        <ns0:v>3772</ns0:v>
      </ns0:c>
      <ns0:c r="C15" s="11" t="inlineStr">
        <ns0:is>
          <ns0:t>Published starting price; nominee director 1yr, secretary/address; confirm scope</ns0:t>
        </ns0:is>
      </ns0:c>
    </ns0:row>
    <ns0:row r="16" ht="45" customHeight="1">
      <ns0:c r="A16" s="11" t="inlineStr">
        <ns0:is>
          <ns0:t>Starting MAU before November</ns0:t>
        </ns0:is>
      </ns0:c>
      <ns0:c r="B16" s="34" t="n">
        <ns0:v>0</ns0:v>
      </ns0:c>
      <ns0:c r="C16" s="11" t="inlineStr">
        <ns0:is>
          <ns0:t>Conservative baseline; replace with measured October MAU</ns0:t>
        </ns0:is>
      </ns0:c>
    </ns0:row>
    <ns0:row r="17" ht="45" customHeight="1">
      <ns0:c r="A17" s="11" t="inlineStr">
        <ns0:is>
          <ns0:t>Infrastructure USD per 1,000 monthly answers</ns0:t>
        </ns0:is>
      </ns0:c>
      <ns0:c r="B17" s="34" t="n">
        <ns0:v>2</ns0:v>
      </ns0:c>
      <ns0:c r="C17" s="11" t="inlineStr">
        <ns0:is>
          <ns0:t>Non-AI compute/database/egress allowance, not Replit quote</ns0:t>
        </ns0:is>
      </ns0:c>
    </ns0:row>
    <ns0:row r="18" ht="45" customHeight="1">
      <ns0:c r="A18" s="11" t="inlineStr">
        <ns0:is>
          <ns0:t>Infrastructure base monthly USD</ns0:t>
        </ns0:is>
      </ns0:c>
      <ns0:c r="B18" s="34" t="n">
        <ns0:v>500</ns0:v>
      </ns0:c>
      <ns0:c r="C18" s="11" t="inlineStr">
        <ns0:is>
          <ns0:t>Fixed minimum monitoring/hosting allocation</ns0:t>
        </ns0:is>
      </ns0:c>
    </ns0:row>
    <ns0:row r="19" ht="45" customHeight="1">
      <ns0:c r="A19" s="11" t="inlineStr">
        <ns0:is>
          <ns0:t>Support monthly USD per 10,000 MAU</ns0:t>
        </ns0:is>
      </ns0:c>
      <ns0:c r="B19" s="34" t="n">
        <ns0:v>150</ns0:v>
      </ns0:c>
      <ns0:c r="C19" s="11" t="inlineStr">
        <ns0:is>
          <ns0:t>Nontechnical support estimate</ns0:t>
        </ns0:is>
      </ns0:c>
    </ns0:row>
    <ns0:row r="20" ht="45" customHeight="1">
      <ns0:c r="A20" s="11" t="inlineStr">
        <ns0:is>
          <ns0:t>Accounting/bank admin monthly USD</ns0:t>
        </ns0:is>
      </ns0:c>
      <ns0:c r="B20" s="34" t="n">
        <ns0:v>400</ns0:v>
      </ns0:c>
      <ns0:c r="C20" s="11" t="inlineStr">
        <ns0:is>
          <ns0:t>Allowance; reduce if covered by confirmed OSOME bundle</ns0:t>
        </ns0:is>
      </ns0:c>
    </ns0:row>
  </ns0:sheetData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6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6" customWidth="1" min="1" max="1"/>
    <ns0:col width="22" customWidth="1" min="2" max="2"/>
    <ns0:col width="22" customWidth="1" min="3" max="3"/>
    <ns0:col width="22" customWidth="1" min="4" max="4"/>
    <ns0:col width="22" customWidth="1" min="5" max="5"/>
    <ns0:col width="22" customWidth="1" min="6" max="6"/>
    <ns0:col width="22" customWidth="1" min="7" max="7"/>
    <ns0:col width="22" customWidth="1" min="8" max="8"/>
    <ns0:col width="22" customWidth="1" min="9" max="9"/>
    <ns0:col width="22" customWidth="1" min="10" max="10"/>
    <ns0:col width="22" customWidth="1" min="11" max="11"/>
    <ns0:col width="22" customWidth="1" min="12" max="12"/>
  </ns0:cols>
  <ns0:sheetData>
    <ns0:row r="1" ht="32" customHeight="1">
      <ns0:c r="A1" s="16" t="inlineStr">
        <ns0:is>
          <ns0:t>Month</ns0:t>
        </ns0:is>
      </ns0:c>
      <ns0:c r="B1" s="16" t="inlineStr">
        <ns0:is>
          <ns0:t>Peak online target</ns0:t>
        </ns0:is>
      </ns0:c>
      <ns0:c r="C1" s="16" t="inlineStr">
        <ns0:is>
          <ns0:t>Avg-month peak</ns0:t>
        </ns0:is>
      </ns0:c>
      <ns0:c r="D1" s="16" t="inlineStr">
        <ns0:is>
          <ns0:t>Average concurrent</ns0:t>
        </ns0:is>
      </ns0:c>
      <ns0:c r="E1" s="16" t="inlineStr">
        <ns0:is>
          <ns0:t>DAU</ns0:t>
        </ns0:is>
      </ns0:c>
      <ns0:c r="F1" s="16" t="inlineStr">
        <ns0:is>
          <ns0:t>MAU end target</ns0:t>
        </ns0:is>
      </ns0:c>
      <ns0:c r="G1" s="16" t="inlineStr">
        <ns0:is>
          <ns0:t>Gross new MAU</ns0:t>
        </ns0:is>
      </ns0:c>
      <ns0:c r="H1" s="16" t="inlineStr">
        <ns0:is>
          <ns0:t>Paid new MAU</ns0:t>
        </ns0:is>
      </ns0:c>
      <ns0:c r="I1" s="16" t="inlineStr">
        <ns0:is>
          <ns0:t>Ad spend USD</ns0:t>
        </ns0:is>
      </ns0:c>
      <ns0:c r="J1" s="16" t="inlineStr">
        <ns0:is>
          <ns0:t>Monthly answers</ns0:t>
        </ns0:is>
      </ns0:c>
      <ns0:c r="K1" s="16" t="inlineStr">
        <ns0:is>
          <ns0:t>AI USD</ns0:t>
        </ns0:is>
      </ns0:c>
      <ns0:c r="L1" s="16" t="inlineStr">
        <ns0:is>
          <ns0:t>Peak answer concurrency</ns0:t>
        </ns0:is>
      </ns0:c>
    </ns0:row>
    <ns0:row r="2" ht="32" customHeight="1">
      <ns0:c r="A2" s="11" t="inlineStr">
        <ns0:is>
          <ns0:t>Nov 2026</ns0:t>
        </ns0:is>
      </ns0:c>
      <ns0:c r="B2" s="34" t="n">
        <ns0:v>1000</ns0:v>
      </ns0:c>
      <ns0:c r="C2" s="36">
        <ns0:f>(B2+0)/2</ns0:f>
        <ns0:v>500.0</ns0:v>
      </ns0:c>
      <ns0:c r="D2" s="36">
        <ns0:f>C2/Assumptions!B2</ns0:f>
        <ns0:v>125.0</ns0:v>
      </ns0:c>
      <ns0:c r="E2" s="36">
        <ns0:f>D2*1440/Assumptions!B3/Assumptions!B4</ns0:f>
        <ns0:v>9000.0</ns0:v>
      </ns0:c>
      <ns0:c r="F2" s="36">
        <ns0:f>B2/Assumptions!B2*1440/Assumptions!B3/Assumptions!B4/Assumptions!B5</ns0:f>
        <ns0:v>90000.0</ns0:v>
      </ns0:c>
      <ns0:c r="G2" s="36">
        <ns0:f>MAX(0,F2-Assumptions!B16*(1-Assumptions!B6))</ns0:f>
        <ns0:v>90000.0</ns0:v>
      </ns0:c>
      <ns0:c r="H2" s="36">
        <ns0:f>G2*Assumptions!B7</ns0:f>
        <ns0:v>62999.99999999999</ns0:v>
      </ns0:c>
      <ns0:c r="I2" s="36">
        <ns0:f>H2*Assumptions!B8</ns0:f>
        <ns0:v>188999.99999999997</ns0:v>
      </ns0:c>
      <ns0:c r="J2" s="36">
        <ns0:f>E2*Assumptions!B9*30</ns0:f>
        <ns0:v>540000.0</ns0:v>
      </ns0:c>
      <ns0:c r="K2" s="36">
        <ns0:f>J2*Assumptions!B10</ns0:f>
        <ns0:v>21600.0</ns0:v>
      </ns0:c>
      <ns0:c r="L2" s="36">
        <ns0:f>B2/Assumptions!B3/60/Assumptions!B4*Assumptions!B9*Assumptions!B11</ns0:f>
        <ns0:v>33.333333333333336</ns0:v>
      </ns0:c>
    </ns0:row>
    <ns0:row r="3" ht="32" customHeight="1">
      <ns0:c r="A3" s="11" t="inlineStr">
        <ns0:is>
          <ns0:t>Dec 2026</ns0:t>
        </ns0:is>
      </ns0:c>
      <ns0:c r="B3" s="34" t="n">
        <ns0:v>2000</ns0:v>
      </ns0:c>
      <ns0:c r="C3" s="36">
        <ns0:f>(B3+B2)/2</ns0:f>
        <ns0:v>1500.0</ns0:v>
      </ns0:c>
      <ns0:c r="D3" s="36">
        <ns0:f>C3/Assumptions!B2</ns0:f>
        <ns0:v>375.0</ns0:v>
      </ns0:c>
      <ns0:c r="E3" s="36">
        <ns0:f>D3*1440/Assumptions!B3/Assumptions!B4</ns0:f>
        <ns0:v>27000.0</ns0:v>
      </ns0:c>
      <ns0:c r="F3" s="36">
        <ns0:f>B3/Assumptions!B2*1440/Assumptions!B3/Assumptions!B4/Assumptions!B5</ns0:f>
        <ns0:v>180000.0</ns0:v>
      </ns0:c>
      <ns0:c r="G3" s="36">
        <ns0:f>MAX(0,F3-F2*(1-Assumptions!B6))</ns0:f>
        <ns0:v>99000.0</ns0:v>
      </ns0:c>
      <ns0:c r="H3" s="36">
        <ns0:f>G3*Assumptions!B7</ns0:f>
        <ns0:v>69300.0</ns0:v>
      </ns0:c>
      <ns0:c r="I3" s="36">
        <ns0:f>H3*Assumptions!B8</ns0:f>
        <ns0:v>207900.0</ns0:v>
      </ns0:c>
      <ns0:c r="J3" s="36">
        <ns0:f>E3*Assumptions!B9*31</ns0:f>
        <ns0:v>1674000.0</ns0:v>
      </ns0:c>
      <ns0:c r="K3" s="36">
        <ns0:f>J3*Assumptions!B10</ns0:f>
        <ns0:v>66960.0</ns0:v>
      </ns0:c>
      <ns0:c r="L3" s="36">
        <ns0:f>B3/Assumptions!B3/60/Assumptions!B4*Assumptions!B9*Assumptions!B11</ns0:f>
        <ns0:v>66.66666666666667</ns0:v>
      </ns0:c>
    </ns0:row>
    <ns0:row r="4" ht="32" customHeight="1">
      <ns0:c r="A4" s="11" t="inlineStr">
        <ns0:is>
          <ns0:t>Jan 2027</ns0:t>
        </ns0:is>
      </ns0:c>
      <ns0:c r="B4" s="34" t="n">
        <ns0:v>4000</ns0:v>
      </ns0:c>
      <ns0:c r="C4" s="36">
        <ns0:f>(B4+B3)/2</ns0:f>
        <ns0:v>3000.0</ns0:v>
      </ns0:c>
      <ns0:c r="D4" s="36">
        <ns0:f>C4/Assumptions!B2</ns0:f>
        <ns0:v>750.0</ns0:v>
      </ns0:c>
      <ns0:c r="E4" s="36">
        <ns0:f>D4*1440/Assumptions!B3/Assumptions!B4</ns0:f>
        <ns0:v>54000.0</ns0:v>
      </ns0:c>
      <ns0:c r="F4" s="36">
        <ns0:f>B4/Assumptions!B2*1440/Assumptions!B3/Assumptions!B4/Assumptions!B5</ns0:f>
        <ns0:v>360000.0</ns0:v>
      </ns0:c>
      <ns0:c r="G4" s="36">
        <ns0:f>MAX(0,F4-F3*(1-Assumptions!B6))</ns0:f>
        <ns0:v>198000.0</ns0:v>
      </ns0:c>
      <ns0:c r="H4" s="36">
        <ns0:f>G4*Assumptions!B7</ns0:f>
        <ns0:v>138600.0</ns0:v>
      </ns0:c>
      <ns0:c r="I4" s="36">
        <ns0:f>H4*Assumptions!B8</ns0:f>
        <ns0:v>415800.0</ns0:v>
      </ns0:c>
      <ns0:c r="J4" s="36">
        <ns0:f>E4*Assumptions!B9*31</ns0:f>
        <ns0:v>3348000.0</ns0:v>
      </ns0:c>
      <ns0:c r="K4" s="36">
        <ns0:f>J4*Assumptions!B10</ns0:f>
        <ns0:v>133920.0</ns0:v>
      </ns0:c>
      <ns0:c r="L4" s="36">
        <ns0:f>B4/Assumptions!B3/60/Assumptions!B4*Assumptions!B9*Assumptions!B11</ns0:f>
        <ns0:v>133.33333333333334</ns0:v>
      </ns0:c>
    </ns0:row>
    <ns0:row r="5" ht="32" customHeight="1">
      <ns0:c r="A5" s="11" t="inlineStr">
        <ns0:is>
          <ns0:t>Feb 2027</ns0:t>
        </ns0:is>
      </ns0:c>
      <ns0:c r="B5" s="34" t="n">
        <ns0:v>8000</ns0:v>
      </ns0:c>
      <ns0:c r="C5" s="36">
        <ns0:f>(B5+B4)/2</ns0:f>
        <ns0:v>6000.0</ns0:v>
      </ns0:c>
      <ns0:c r="D5" s="36">
        <ns0:f>C5/Assumptions!B2</ns0:f>
        <ns0:v>1500.0</ns0:v>
      </ns0:c>
      <ns0:c r="E5" s="36">
        <ns0:f>D5*1440/Assumptions!B3/Assumptions!B4</ns0:f>
        <ns0:v>108000.0</ns0:v>
      </ns0:c>
      <ns0:c r="F5" s="36">
        <ns0:f>B5/Assumptions!B2*1440/Assumptions!B3/Assumptions!B4/Assumptions!B5</ns0:f>
        <ns0:v>720000.0</ns0:v>
      </ns0:c>
      <ns0:c r="G5" s="36">
        <ns0:f>MAX(0,F5-F4*(1-Assumptions!B6))</ns0:f>
        <ns0:v>396000.0</ns0:v>
      </ns0:c>
      <ns0:c r="H5" s="36">
        <ns0:f>G5*Assumptions!B7</ns0:f>
        <ns0:v>277200.0</ns0:v>
      </ns0:c>
      <ns0:c r="I5" s="36">
        <ns0:f>H5*Assumptions!B8</ns0:f>
        <ns0:v>831600.0</ns0:v>
      </ns0:c>
      <ns0:c r="J5" s="36">
        <ns0:f>E5*Assumptions!B9*28</ns0:f>
        <ns0:v>6048000.0</ns0:v>
      </ns0:c>
      <ns0:c r="K5" s="36">
        <ns0:f>J5*Assumptions!B10</ns0:f>
        <ns0:v>241920.0</ns0:v>
      </ns0:c>
      <ns0:c r="L5" s="36">
        <ns0:f>B5/Assumptions!B3/60/Assumptions!B4*Assumptions!B9*Assumptions!B11</ns0:f>
        <ns0:v>266.6666666666667</ns0:v>
      </ns0:c>
    </ns0:row>
    <ns0:row r="6" ht="32" customHeight="1">
      <ns0:c r="A6" s="11" t="inlineStr">
        <ns0:is>
          <ns0:t>Mar 2027</ns0:t>
        </ns0:is>
      </ns0:c>
      <ns0:c r="B6" s="34" t="n">
        <ns0:v>16000</ns0:v>
      </ns0:c>
      <ns0:c r="C6" s="36">
        <ns0:f>(B6+B5)/2</ns0:f>
        <ns0:v>12000.0</ns0:v>
      </ns0:c>
      <ns0:c r="D6" s="36">
        <ns0:f>C6/Assumptions!B2</ns0:f>
        <ns0:v>3000.0</ns0:v>
      </ns0:c>
      <ns0:c r="E6" s="36">
        <ns0:f>D6*1440/Assumptions!B3/Assumptions!B4</ns0:f>
        <ns0:v>216000.0</ns0:v>
      </ns0:c>
      <ns0:c r="F6" s="36">
        <ns0:f>B6/Assumptions!B2*1440/Assumptions!B3/Assumptions!B4/Assumptions!B5</ns0:f>
        <ns0:v>1440000.0</ns0:v>
      </ns0:c>
      <ns0:c r="G6" s="36">
        <ns0:f>MAX(0,F6-F5*(1-Assumptions!B6))</ns0:f>
        <ns0:v>792000.0</ns0:v>
      </ns0:c>
      <ns0:c r="H6" s="36">
        <ns0:f>G6*Assumptions!B7</ns0:f>
        <ns0:v>554400.0</ns0:v>
      </ns0:c>
      <ns0:c r="I6" s="36">
        <ns0:f>H6*Assumptions!B8</ns0:f>
        <ns0:v>1663200.0</ns0:v>
      </ns0:c>
      <ns0:c r="J6" s="36">
        <ns0:f>E6*Assumptions!B9*31</ns0:f>
        <ns0:v>13392000.0</ns0:v>
      </ns0:c>
      <ns0:c r="K6" s="36">
        <ns0:f>J6*Assumptions!B10</ns0:f>
        <ns0:v>535680.0</ns0:v>
      </ns0:c>
      <ns0:c r="L6" s="36">
        <ns0:f>B6/Assumptions!B3/60/Assumptions!B4*Assumptions!B9*Assumptions!B11</ns0:f>
        <ns0:v>533.3333333333334</ns0:v>
      </ns0:c>
    </ns0:row>
  </ns0:sheetData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G11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6" customWidth="1" min="1" max="1"/>
    <ns0:col width="22" customWidth="1" min="2" max="2"/>
    <ns0:col width="22" customWidth="1" min="3" max="3"/>
    <ns0:col width="22" customWidth="1" min="4" max="4"/>
    <ns0:col width="22" customWidth="1" min="5" max="5"/>
    <ns0:col width="22" customWidth="1" min="6" max="6"/>
    <ns0:col width="90" customWidth="1" min="7" max="7"/>
  </ns0:cols>
  <ns0:sheetData>
    <ns0:row r="1" ht="45" customHeight="1">
      <ns0:c r="A1" s="16" t="inlineStr">
        <ns0:is>
          <ns0:t>Item</ns0:t>
        </ns0:is>
      </ns0:c>
      <ns0:c r="B1" s="16" t="inlineStr">
        <ns0:is>
          <ns0:t>Nov 2026 USD</ns0:t>
        </ns0:is>
      </ns0:c>
      <ns0:c r="C1" s="16" t="inlineStr">
        <ns0:is>
          <ns0:t>Dec</ns0:t>
        </ns0:is>
      </ns0:c>
      <ns0:c r="D1" s="16" t="inlineStr">
        <ns0:is>
          <ns0:t>Jan</ns0:t>
        </ns0:is>
      </ns0:c>
      <ns0:c r="E1" s="16" t="inlineStr">
        <ns0:is>
          <ns0:t>Feb</ns0:t>
        </ns0:is>
      </ns0:c>
      <ns0:c r="F1" s="16" t="inlineStr">
        <ns0:is>
          <ns0:t>Mar</ns0:t>
        </ns0:is>
      </ns0:c>
      <ns0:c r="G1" s="16" t="inlineStr">
        <ns0:is>
          <ns0:t>Basis / inclusion</ns0:t>
        </ns0:is>
      </ns0:c>
    </ns0:row>
    <ns0:row r="2" ht="60" customHeight="1">
      <ns0:c r="A2" s="11" t="inlineStr">
        <ns0:is>
          <ns0:t>OSOME SG incorporation + foreign-founder compliance</ns0:t>
        </ns0:is>
      </ns0:c>
      <ns0:c r="B2" s="36">
        <ns0:f>ROUND(Assumptions!B15*Assumptions!B13*(1+Assumptions!B14),2)</ns0:f>
        <ns0:v>3206.95</ns0:v>
      </ns0:c>
      <ns0:c r="C2" s="34" t="n">
        <ns0:v>0</ns0:v>
      </ns0:c>
      <ns0:c r="D2" s="34" t="n">
        <ns0:v>0</ns0:v>
      </ns0:c>
      <ns0:c r="E2" s="34" t="n">
        <ns0:v>0</ns0:v>
      </ns0:c>
      <ns0:c r="F2" s="34" t="n">
        <ns0:v>0</ns0:v>
      </ns0:c>
      <ns0:c r="G2" s="11" t="inlineStr">
        <ns0:is>
          <ns0:t>Indicative starting bundle; first-year nominee, secretary and registered address. Confirm ACRA fees, accounting scope and tax with OSOME.</ns0:t>
        </ns0:is>
      </ns0:c>
    </ns0:row>
    <ns0:row r="3" ht="60" customHeight="1">
      <ns0:c r="A3" s="11" t="inlineStr">
        <ns0:is>
          <ns0:t>Legal documents / privacy / PDPA / religious-content review</ns0:t>
        </ns0:is>
      </ns0:c>
      <ns0:c r="B3" s="34" t="n">
        <ns0:v>2000</ns0:v>
      </ns0:c>
      <ns0:c r="C3" s="34" t="n">
        <ns0:v>500</ns0:v>
      </ns0:c>
      <ns0:c r="D3" s="34" t="n">
        <ns0:v>0</ns0:v>
      </ns0:c>
      <ns0:c r="E3" s="34" t="n">
        <ns0:v>0</ns0:v>
      </ns0:c>
      <ns0:c r="F3" s="34" t="n">
        <ns0:v>0</ns0:v>
      </ns0:c>
      <ns0:c r="G3" s="11" t="inlineStr">
        <ns0:is>
          <ns0:t>Professional-services allowance; not an official fee</ns0:t>
        </ns0:is>
      </ns0:c>
    </ns0:row>
    <ns0:row r="4" ht="60" customHeight="1">
      <ns0:c r="A4" s="11" t="inlineStr">
        <ns0:is>
          <ns0:t>Bank opening/KYC assistance</ns0:t>
        </ns0:is>
      </ns0:c>
      <ns0:c r="B4" s="34" t="n">
        <ns0:v>300</ns0:v>
      </ns0:c>
      <ns0:c r="C4" s="34" t="n">
        <ns0:v>0</ns0:v>
      </ns0:c>
      <ns0:c r="D4" s="34" t="n">
        <ns0:v>0</ns0:v>
      </ns0:c>
      <ns0:c r="E4" s="34" t="n">
        <ns0:v>0</ns0:v>
      </ns0:c>
      <ns0:c r="F4" s="34" t="n">
        <ns0:v>0</ns0:v>
      </ns0:c>
      <ns0:c r="G4" s="11" t="inlineStr">
        <ns0:is>
          <ns0:t>Allowance, not bank application fee; approval subject to KYC</ns0:t>
        </ns0:is>
      </ns0:c>
    </ns0:row>
    <ns0:row r="5" ht="60" customHeight="1">
      <ns0:c r="A5" s="11" t="inlineStr">
        <ns0:is>
          <ns0:t>Stripe registration fee</ns0:t>
        </ns0:is>
      </ns0:c>
      <ns0:c r="B5" s="34" t="n">
        <ns0:v>0</ns0:v>
      </ns0:c>
      <ns0:c r="C5" s="34" t="n">
        <ns0:v>0</ns0:v>
      </ns0:c>
      <ns0:c r="D5" s="34" t="n">
        <ns0:v>0</ns0:v>
      </ns0:c>
      <ns0:c r="E5" s="34" t="n">
        <ns0:v>0</ns0:v>
      </ns0:c>
      <ns0:c r="F5" s="34" t="n">
        <ns0:v>0</ns0:v>
      </ns0:c>
      <ns0:c r="G5" s="11" t="inlineStr">
        <ns0:is>
          <ns0:t>No standard setup fee; technical integration included in Tech</ns0:t>
        </ns0:is>
      </ns0:c>
    </ns0:row>
    <ns0:row r="6" ht="60" customHeight="1">
      <ns0:c r="A6" s="11" t="inlineStr">
        <ns0:is>
          <ns0:t>Standard D-U-N-S registration</ns0:t>
        </ns0:is>
      </ns0:c>
      <ns0:c r="B6" s="34" t="n">
        <ns0:v>0</ns0:v>
      </ns0:c>
      <ns0:c r="C6" s="34" t="n">
        <ns0:v>0</ns0:v>
      </ns0:c>
      <ns0:c r="D6" s="34" t="n">
        <ns0:v>0</ns0:v>
      </ns0:c>
      <ns0:c r="E6" s="34" t="n">
        <ns0:v>0</ns0:v>
      </ns0:c>
      <ns0:c r="F6" s="34" t="n">
        <ns0:v>0</ns0:v>
      </ns0:c>
      <ns0:c r="G6" s="11" t="inlineStr">
        <ns0:is>
          <ns0:t>Free standard route; expedited third-party fees excluded</ns0:t>
        </ns0:is>
      </ns0:c>
    </ns0:row>
    <ns0:row r="7" ht="60" customHeight="1">
      <ns0:c r="A7" s="11" t="inlineStr">
        <ns0:is>
          <ns0:t>Google Play developer registration</ns0:t>
        </ns0:is>
      </ns0:c>
      <ns0:c r="B7" s="34" t="n">
        <ns0:v>25</ns0:v>
      </ns0:c>
      <ns0:c r="C7" s="34" t="n">
        <ns0:v>0</ns0:v>
      </ns0:c>
      <ns0:c r="D7" s="34" t="n">
        <ns0:v>0</ns0:v>
      </ns0:c>
      <ns0:c r="E7" s="34" t="n">
        <ns0:v>0</ns0:v>
      </ns0:c>
      <ns0:c r="F7" s="34" t="n">
        <ns0:v>0</ns0:v>
      </ns0:c>
      <ns0:c r="G7" s="11" t="inlineStr">
        <ns0:is>
          <ns0:t>Official one-time USD fee</ns0:t>
        </ns0:is>
      </ns0:c>
    </ns0:row>
    <ns0:row r="8" ht="60" customHeight="1">
      <ns0:c r="A8" s="11" t="inlineStr">
        <ns0:is>
          <ns0:t>Apple Developer annual membership</ns0:t>
        </ns0:is>
      </ns0:c>
      <ns0:c r="B8" s="34" t="n">
        <ns0:v>99</ns0:v>
      </ns0:c>
      <ns0:c r="C8" s="34" t="n">
        <ns0:v>0</ns0:v>
      </ns0:c>
      <ns0:c r="D8" s="34" t="n">
        <ns0:v>0</ns0:v>
      </ns0:c>
      <ns0:c r="E8" s="34" t="n">
        <ns0:v>0</ns0:v>
      </ns0:c>
      <ns0:c r="F8" s="34" t="n">
        <ns0:v>0</ns0:v>
      </ns0:c>
      <ns0:c r="G8" s="11" t="inlineStr">
        <ns0:is>
          <ns0:t>Official annual USD fee; enrollment subject to verification</ns0:t>
        </ns0:is>
      </ns0:c>
    </ns0:row>
    <ns0:row r="9" ht="60" customHeight="1">
      <ns0:c r="A9" s="11" t="inlineStr">
        <ns0:is>
          <ns0:t>Store listing, privacy forms and submission assistance</ns0:t>
        </ns0:is>
      </ns0:c>
      <ns0:c r="B9" s="34" t="n">
        <ns0:v>0</ns0:v>
      </ns0:c>
      <ns0:c r="C9" s="34" t="n">
        <ns0:v>800</ns0:v>
      </ns0:c>
      <ns0:c r="D9" s="34" t="n">
        <ns0:v>400</ns0:v>
      </ns0:c>
      <ns0:c r="E9" s="34" t="n">
        <ns0:v>0</ns0:v>
      </ns0:c>
      <ns0:c r="F9" s="34" t="n">
        <ns0:v>0</ns0:v>
      </ns0:c>
      <ns0:c r="G9" s="11" t="inlineStr">
        <ns0:is>
          <ns0:t>Service allowance; development/testing in Tech; no invented per-app publishing fee</ns0:t>
        </ns0:is>
      </ns0:c>
    </ns0:row>
    <ns0:row r="10" ht="60" customHeight="1">
      <ns0:c r="A10" s="11" t="inlineStr">
        <ns0:is>
          <ns0:t>Accounting/tax filings and bank admin allowance</ns0:t>
        </ns0:is>
      </ns0:c>
      <ns0:c r="B10" s="36">
        <ns0:f>Assumptions!B20</ns0:f>
        <ns0:v>400</ns0:v>
      </ns0:c>
      <ns0:c r="C10" s="36">
        <ns0:f>Assumptions!B20</ns0:f>
        <ns0:v>400</ns0:v>
      </ns0:c>
      <ns0:c r="D10" s="36">
        <ns0:f>Assumptions!B20</ns0:f>
        <ns0:v>400</ns0:v>
      </ns0:c>
      <ns0:c r="E10" s="36">
        <ns0:f>Assumptions!B20</ns0:f>
        <ns0:v>400</ns0:v>
      </ns0:c>
      <ns0:c r="F10" s="36">
        <ns0:f>Assumptions!B20</ns0:f>
        <ns0:v>400</ns0:v>
      </ns0:c>
      <ns0:c r="G10" s="11" t="inlineStr">
        <ns0:is>
          <ns0:t>Not a tax provision. Reconcile OSOME accounting inclusion before purchase</ns0:t>
        </ns0:is>
      </ns0:c>
    </ns0:row>
    <ns0:row r="11" ht="60" customHeight="1">
      <ns0:c r="A11" s="11" t="inlineStr">
        <ns0:is>
          <ns0:t>Total</ns0:t>
        </ns0:is>
      </ns0:c>
      <ns0:c r="B11" s="36">
        <ns0:f>SUM(B2:B10)</ns0:f>
        <ns0:v>6030.95</ns0:v>
      </ns0:c>
      <ns0:c r="C11" s="36">
        <ns0:f>SUM(C2:C10)</ns0:f>
        <ns0:v>1700</ns0:v>
      </ns0:c>
      <ns0:c r="D11" s="36">
        <ns0:f>SUM(D2:D10)</ns0:f>
        <ns0:v>800</ns0:v>
      </ns0:c>
      <ns0:c r="E11" s="36">
        <ns0:f>SUM(E2:E10)</ns0:f>
        <ns0:v>400</ns0:v>
      </ns0:c>
      <ns0:c r="F11" s="36">
        <ns0:f>SUM(F2:F10)</ns0:f>
        <ns0:v>400</ns0:v>
      </ns0:c>
      <ns0:c r="G11" s="11" t="inlineStr">
        <ns0:is>
          <ns0:t>Paid cash outlay; no deposits counted as expenses</ns0:t>
        </ns0:is>
      </ns0:c>
    </ns0:row>
  </ns0:sheetData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B18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6" customWidth="1" min="1" max="1"/>
    <ns0:col width="100" customWidth="1" min="2" max="2"/>
  </ns0:cols>
  <ns0:sheetData>
    <ns0:row r="1" ht="45" customHeight="1">
      <ns0:c r="A1" s="16" t="inlineStr">
        <ns0:is>
          <ns0:t>READ FIRST</ns0:t>
        </ns0:is>
      </ns0:c>
      <ns0:c r="B1" s="16" t="inlineStr">
        <ns0:is>
          <ns0:t>Planning interpretation and scope</ns0:t>
        </ns0:is>
      </ns0:c>
    </ns0:row>
    <ns0:row r="2" ht="66" customHeight="1">
      <ns0:c r="A2" s="11" t="inlineStr">
        <ns0:is>
          <ns0:t>Period</ns0:t>
        </ns0:is>
      </ns0:c>
      <ns0:c r="B2" s="11" t="inlineStr">
        <ns0:is>
          <ns0:t>November 2026–March 2027 inferred from uploaded month headings and current date.</ns0:t>
        </ns0:is>
      </ns0:c>
    </ns0:row>
    <ns0:row r="3" ht="66" customHeight="1">
      <ns0:c r="A3" s="11" t="inlineStr">
        <ns0:is>
          <ns0:t>Target</ns0:t>
        </ns0:is>
      </ns0:c>
      <ns0:c r="B3" s="11" t="inlineStr">
        <ns0:is>
          <ns0:t>16,000 peak concurrent online users by March, NOT 16,000 registered users or simultaneous AI requests.</ns0:t>
        </ns0:is>
      </ns0:c>
    </ns0:row>
    <ns0:row r="4" ht="66" customHeight="1">
      <ns0:c r="A4" s="11" t="inlineStr">
        <ns0:is>
          <ns0:t>Acquisition model</ns0:t>
        </ns0:is>
      </ns0:c>
      <ns0:c r="B4" s="11" t="inlineStr">
        <ns0:is>
          <ns0:t>Peak/average ratio 4, 10-minute sessions, 2 sessions/DAU, DAU/MAU 20%. March requires 1.44m MAU and 288k end-state DAU under these assumptions.</ns0:t>
        </ns0:is>
      </ns0:c>
    </ns0:row>
    <ns0:row r="5" ht="66" customHeight="1">
      <ns0:c r="A5" s="11" t="inlineStr">
        <ns0:is>
          <ns0:t>Advertising</ns0:t>
        </ns0:is>
      </ns0:c>
      <ns0:c r="B5" s="11" t="inlineStr">
        <ns0:is>
          <ns0:t>$3 per acquired monthly active user, 70% paid share, 10% monthly MAU churn. CAC and organic share are unvalidated; ads cannot guarantee concurrent attendance.</ns0:t>
        </ns0:is>
      </ns0:c>
    </ns0:row>
    <ns0:row r="6" ht="66" customHeight="1">
      <ns0:c r="A6" s="11" t="inlineStr">
        <ns0:is>
          <ns0:t>Usage</ns0:t>
        </ns0:is>
      </ns0:c>
      <ns0:c r="B6" s="11" t="inlineStr">
        <ns0:is>
          <ns0:t>Two answers/DAU/day. Monthly cost uses average of previous/current peak target, including ramp from zero in November. March average DAU 216k; full run-rate DAU 288k.</ns0:t>
        </ns0:is>
      </ns0:c>
    </ns0:row>
    <ns0:row r="7" ht="66" customHeight="1">
      <ns0:c r="A7" s="11" t="inlineStr">
        <ns0:is>
          <ns0:t>Capacity</ns0:t>
        </ns0:is>
      </ns0:c>
      <ns0:c r="B7" s="11" t="inlineStr">
        <ns0:is>
          <ns0:t>16k peak sessions imply about 533 simultaneously generating answers at 20-second latency under the assumed question rate. Current app capacity is NOT verified; quotas, distributed admission control and load testing required.</ns0:t>
        </ns0:is>
      </ns0:c>
    </ns0:row>
    <ns0:row r="8" ht="66" customHeight="1">
      <ns0:c r="A8" s="11" t="inlineStr">
        <ns0:is>
          <ns0:t>AI cost</ns0:t>
        </ns0:is>
      </ns0:c>
      <ns0:c r="B8" s="11" t="inlineStr">
        <ns0:is>
          <ns0:t>$0.04/answer budget, not measured unit cost. No assumption that all knowledge documents or training rows are sent per request. March full-target run-rate: 17.856m answers / 31 days, $714,240 AI.</ns0:t>
        </ns0:is>
      </ns0:c>
    </ns0:row>
    <ns0:row r="9" ht="66" customHeight="1">
      <ns0:c r="A9" s="11" t="inlineStr">
        <ns0:is>
          <ns0:t>Tech vs maintenance</ns0:t>
        </ns0:is>
      </ns0:c>
      <ns0:c r="B9" s="11" t="inlineStr">
        <ns0:is>
          <ns0:t>Tech: engineering new features, mobile apps, capacity controls and payment integration. Maintenance: separate ongoing bugs, QA, security and on-call. HR excludes these technical roles.</ns0:t>
        </ns0:is>
      </ns0:c>
    </ns0:row>
    <ns0:row r="10" ht="66" customHeight="1">
      <ns0:c r="A10" s="11" t="inlineStr">
        <ns0:is>
          <ns0:t>Legal scope</ns0:t>
        </ns0:is>
      </ns0:c>
      <ns0:c r="B10" s="11" t="inlineStr">
        <ns0:is>
          <ns0:t>First-year incorporation/compliance cash outlay in November; no duplicate nominee/secretary/address charge. Accounting allowance may overlap package: confirm quote and adjust.</ns0:t>
        </ns0:is>
      </ns0:c>
    </ns0:row>
    <ns0:row r="11" ht="66" customHeight="1">
      <ns0:c r="A11" s="11" t="inlineStr">
        <ns0:is>
          <ns0:t>Bank / capital</ns0:t>
        </ns0:is>
      </ns0:c>
      <ns0:c r="B11" s="11" t="inlineStr">
        <ns0:is>
          <ns0:t>Bank approval and Stripe activation are not guaranteed. Restricted minimum balances, paid-up capital, and refundable deposits are assets, not expenses. Hold a separate provisional $2,000 liquidity buffer; bank-dependent and excluded from expense total.</ns0:t>
        </ns0:is>
      </ns0:c>
    </ns0:row>
    <ns0:row r="12" ht="66" customHeight="1">
      <ns0:c r="A12" s="11" t="inlineStr">
        <ns0:is>
          <ns0:t>Payment fees</ns0:t>
        </ns0:is>
      </ns0:c>
      <ns0:c r="B12" s="11" t="inlineStr">
        <ns0:is>
          <ns0:t>Base model assumes no receipts, hence $0 processing fees. If charging users: add Stripe/FX/refund/chargeback fees on web sales OR applicable store commission on store-billed sales; do not double count both on the same sale.</ns0:t>
        </ns0:is>
      </ns0:c>
    </ns0:row>
    <ns0:row r="13" ht="66" customHeight="1">
      <ns0:c r="A13" s="11" t="inlineStr">
        <ns0:is>
          <ns0:t>Store commissions</ns0:t>
        </ns0:is>
      </ns0:c>
      <ns0:c r="B13" s="11" t="inlineStr">
        <ns0:is>
          <ns0:t>Separate from registration. Model 15%–30% of eligible app-store receipts only after confirming program/transaction eligibility. Not assumed included in zero-revenue budget.</ns0:t>
        </ns0:is>
      </ns0:c>
    </ns0:row>
    <ns0:row r="14" ht="66" customHeight="1">
      <ns0:c r="A14" s="11" t="inlineStr">
        <ns0:is>
          <ns0:t>Taxes</ns0:t>
        </ns0:is>
      </ns0:c>
      <ns0:c r="B14" s="11" t="inlineStr">
        <ns0:is>
          <ns0:t>Company profit tax and sales/GST/VAT collection depend on revenue/residency. No profit-tax estimate without revenue. OSOME GST provision is conservative; confirm actual invoice and other vendor taxes.</ns0:t>
        </ns0:is>
      </ns0:c>
    </ns0:row>
    <ns0:row r="15" ht="66" customHeight="1">
      <ns0:c r="A15" s="11" t="inlineStr">
        <ns0:is>
          <ns0:t>Renewals</ns0:t>
        </ns0:is>
      </ns0:c>
      <ns0:c r="B15" s="11" t="inlineStr">
        <ns0:is>
          <ns0:t>Apple annual and SG compliance renewals occur beyond this five-month horizon. Company status and accounting fees can scale with transaction volume.</ns0:t>
        </ns0:is>
      </ns0:c>
    </ns0:row>
    <ns0:row r="16" ht="66" customHeight="1">
      <ns0:c r="A16" s="11" t="inlineStr">
        <ns0:is>
          <ns0:t>Risk / budget range</ns0:t>
        </ns0:is>
      </ns0:c>
      <ns0:c r="B16" s="11" t="inlineStr">
        <ns0:is>
          <ns0:t>20% contingency does not cover arbitrary demand. Adjust CAC, token costs and session behavior before funding. Estimates are geographically blended; high-income-market CAC may be much higher.</ns0:t>
        </ns0:is>
      </ns0:c>
    </ns0:row>
    <ns0:row r="17" ht="66" customHeight="1">
      <ns0:c r="A17" s="11" t="inlineStr">
        <ns0:is>
          <ns0:t>Scope exclusions</ns0:t>
        </ns0:is>
      </ns0:c>
      <ns0:c r="B17" s="11" t="inlineStr">
        <ns0:is>
          <ns0:t>No founder profit/salary unless included in HR; no commercial source-rights quote, physical office, relocation/visa, or unusual regulatory license assumed. Partnership line includes provisional source licensing.</ns0:t>
        </ns0:is>
      </ns0:c>
    </ns0:row>
    <ns0:row r="18" ht="66" customHeight="1">
      <ns0:c r="A18" s="11" t="inlineStr">
        <ns0:is>
          <ns0:t>Immediate next gate</ns0:t>
        </ns0:is>
      </ns0:c>
      <ns0:c r="B18" s="11" t="inlineStr">
        <ns0:is>
          <ns0:t>Validate 30-day cost per answer, retention, paid-acquisition CAC and load-test performance before scaling spend. Nothing in this workbook changes the app or purchases services.</ns0:t>
        </ns0:is>
      </ns0:c>
    </ns0:row>
  </ns0:sheetData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E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6" customWidth="1" min="1" max="1"/>
    <ns0:col width="22" customWidth="1" min="2" max="2"/>
    <ns0:col width="22" customWidth="1" min="3" max="3"/>
    <ns0:col width="22" customWidth="1" min="4" max="4"/>
    <ns0:col width="22" customWidth="1" min="5" max="5"/>
  </ns0:cols>
  <ns0:sheetData>
    <ns0:row r="1" ht="32" customHeight="1">
      <ns0:c r="A1" s="16" t="inlineStr">
        <ns0:is>
          <ns0:t>Five-month sensitivity</ns0:t>
        </ns0:is>
      </ns0:c>
      <ns0:c r="B1" s="16" t="inlineStr">
        <ns0:is>
          <ns0:t>AI cost/answer USD</ns0:t>
        </ns0:is>
      </ns0:c>
      <ns0:c r="C1" s="16" t="inlineStr">
        <ns0:is>
          <ns0:t>Paid MAU CAC USD</ns0:t>
        </ns0:is>
      </ns0:c>
      <ns0:c r="D1" s="16" t="inlineStr">
        <ns0:is>
          <ns0:t>Cash incl. 20% reserve USD</ns0:t>
        </ns0:is>
      </ns0:c>
      <ns0:c r="E1" s="16" t="inlineStr">
        <ns0:is>
          <ns0:t>Interpretation</ns0:t>
        </ns0:is>
      </ns0:c>
    </ns0:row>
    <ns0:row r="2" ht="32" customHeight="1">
      <ns0:c r="A2" s="11" t="inlineStr">
        <ns0:is>
          <ns0:t>Lower-cost case</ns0:t>
        </ns0:is>
      </ns0:c>
      <ns0:c r="B2" s="34" t="n">
        <ns0:v>0.02</ns0:v>
      </ns0:c>
      <ns0:c r="C2" s="34" t="n">
        <ns0:v>1.5</ns0:v>
      </ns0:c>
      <ns0:c r="D2" s="36">
        <ns0:f>'Monthly Plan'!H22+(SUM('Usage and Acquisition'!J2:J6)*(B2-Assumptions!B10)+SUM('Usage and Acquisition'!H2:H6)*(C2-Assumptions!B8)*1.08)*(1+Assumptions!B12)</ns0:f>
        <ns0:v>3071369.9399999995</ns0:v>
      </ns0:c>
      <ns0:c r="E2" s="11" t="inlineStr">
        <ns0:is>
          <ns0:t>Not guaranteed; all traffic and fixed assumptions unchanged</ns0:t>
        </ns0:is>
      </ns0:c>
    </ns0:row>
    <ns0:row r="3" ht="32" customHeight="1">
      <ns0:c r="A3" s="11" t="inlineStr">
        <ns0:is>
          <ns0:t>Base</ns0:t>
        </ns0:is>
      </ns0:c>
      <ns0:c r="B3" s="34" t="n">
        <ns0:v>0.04</ns0:v>
      </ns0:c>
      <ns0:c r="C3" s="34" t="n">
        <ns0:v>3</ns0:v>
      </ns0:c>
      <ns0:c r="D3" s="36">
        <ns0:f>'Monthly Plan'!H22+(SUM('Usage and Acquisition'!J2:J6)*(B3-Assumptions!B10)+SUM('Usage and Acquisition'!H2:H6)*(C3-Assumptions!B8)*1.08)*(1+Assumptions!B12)</ns0:f>
        <ns0:v>5814677.9399999995</ns0:v>
      </ns0:c>
      <ns0:c r="E3" s="11" t="inlineStr">
        <ns0:is>
          <ns0:t>Working budget</ns0:t>
        </ns0:is>
      </ns0:c>
    </ns0:row>
    <ns0:row r="4" ht="32" customHeight="1">
      <ns0:c r="A4" s="11" t="inlineStr">
        <ns0:is>
          <ns0:t>Higher-cost case</ns0:t>
        </ns0:is>
      </ns0:c>
      <ns0:c r="B4" s="34" t="n">
        <ns0:v>0.06</ns0:v>
      </ns0:c>
      <ns0:c r="C4" s="34" t="n">
        <ns0:v>6</ns0:v>
      </ns0:c>
      <ns0:c r="D4" s="36">
        <ns0:f>'Monthly Plan'!H22+(SUM('Usage and Acquisition'!J2:J6)*(B4-Assumptions!B10)+SUM('Usage and Acquisition'!H2:H6)*(C4-Assumptions!B8)*1.08)*(1+Assumptions!B12)</ns0:f>
        <ns0:v>10701245.94</ns0:v>
      </ns0:c>
      <ns0:c r="E4" s="11" t="inlineStr">
        <ns0:is>
          <ns0:t>Not a worst-case ceiling</ns0:t>
        </ns0:is>
      </ns0:c>
    </ns0:row>
  </ns0:sheetData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10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6" customWidth="1" min="1" max="1"/>
    <ns0:col width="100" customWidth="1" min="2" max="2"/>
    <ns0:col width="22" customWidth="1" min="3" max="3"/>
  </ns0:cols>
  <ns0:sheetData>
    <ns0:row r="1" ht="45" customHeight="1">
      <ns0:c r="A1" s="16" t="inlineStr">
        <ns0:is>
          <ns0:t>Source (checked 22 Sep 2026)</ns0:t>
        </ns0:is>
      </ns0:c>
      <ns0:c r="B1" s="16" t="inlineStr">
        <ns0:is>
          <ns0:t>URL</ns0:t>
        </ns0:is>
      </ns0:c>
      <ns0:c r="C1" s="16" t="inlineStr">
        <ns0:is>
          <ns0:t>Use / limitation</ns0:t>
        </ns0:is>
      </ns0:c>
    </ns0:row>
    <ns0:row r="2" ht="45" customHeight="1">
      <ns0:c r="A2" s="11" t="inlineStr">
        <ns0:is>
          <ns0:t>OSOME nominee director packages</ns0:t>
        </ns0:is>
      </ns0:c>
      <ns0:c r="B2" s="11" t="inlineStr">
        <ns0:is>
          <ns0:t>https://osome.com/sg/nominee-director/</ns0:t>
        </ns0:is>
      </ns0:c>
      <ns0:c r="C2" s="11" t="inlineStr">
        <ns0:is>
          <ns0:t>Starting SGD 3,772 bundle; binding quote and tax inclusions required</ns0:t>
        </ns0:is>
      </ns0:c>
    </ns0:row>
    <ns0:row r="3" ht="45" customHeight="1">
      <ns0:c r="A3" s="11" t="inlineStr">
        <ns0:is>
          <ns0:t>Apple membership</ns0:t>
        </ns0:is>
      </ns0:c>
      <ns0:c r="B3" s="11" t="inlineStr">
        <ns0:is>
          <ns0:t>https://developer.apple.com/programs/whats-included/</ns0:t>
        </ns0:is>
      </ns0:c>
      <ns0:c r="C3" s="11" t="inlineStr">
        <ns0:is>
          <ns0:t>USD 99 annual; commissions depend on eligibility</ns0:t>
        </ns0:is>
      </ns0:c>
    </ns0:row>
    <ns0:row r="4" ht="45" customHeight="1">
      <ns0:c r="A4" s="11" t="inlineStr">
        <ns0:is>
          <ns0:t>Apple D-U-N-S</ns0:t>
        </ns0:is>
      </ns0:c>
      <ns0:c r="B4" s="11" t="inlineStr">
        <ns0:is>
          <ns0:t>https://developer.apple.com/support/D-U-N-S/</ns0:t>
        </ns0:is>
      </ns0:c>
      <ns0:c r="C4" s="11" t="inlineStr">
        <ns0:is>
          <ns0:t>Standard organization number free</ns0:t>
        </ns0:is>
      </ns0:c>
    </ns0:row>
    <ns0:row r="5" ht="45" customHeight="1">
      <ns0:c r="A5" s="11" t="inlineStr">
        <ns0:is>
          <ns0:t>Google Play registration</ns0:t>
        </ns0:is>
      </ns0:c>
      <ns0:c r="B5" s="11" t="inlineStr">
        <ns0:is>
          <ns0:t>https://support.google.com/googleplay/android-developer/answer/6112435</ns0:t>
        </ns0:is>
      </ns0:c>
      <ns0:c r="C5" s="11" t="inlineStr">
        <ns0:is>
          <ns0:t>USD 25 one-time</ns0:t>
        </ns0:is>
      </ns0:c>
    </ns0:row>
    <ns0:row r="6" ht="45" customHeight="1">
      <ns0:c r="A6" s="11" t="inlineStr">
        <ns0:is>
          <ns0:t>Stripe Singapore</ns0:t>
        </ns0:is>
      </ns0:c>
      <ns0:c r="B6" s="11" t="inlineStr">
        <ns0:is>
          <ns0:t>https://stripe.com/sg/pricing</ns0:t>
        </ns0:is>
      </ns0:c>
      <ns0:c r="C6" s="11" t="inlineStr">
        <ns0:is>
          <ns0:t>No setup/monthly fee; transaction charges depend on method/currency</ns0:t>
        </ns0:is>
      </ns0:c>
    </ns0:row>
    <ns0:row r="7" ht="45" customHeight="1">
      <ns0:c r="A7" s="11" t="inlineStr">
        <ns0:is>
          <ns0:t>Replit AI integration</ns0:t>
        </ns0:is>
      </ns0:c>
      <ns0:c r="B7" s="11" t="inlineStr">
        <ns0:is>
          <ns0:t>https://docs.replit.com/features/integrations/replit-ai-integrations</ns0:t>
        </ns0:is>
      </ns0:c>
      <ns0:c r="C7" s="11" t="inlineStr">
        <ns0:is>
          <ns0:t>Provider public API prices; actual consumption billed</ns0:t>
        </ns0:is>
      </ns0:c>
    </ns0:row>
    <ns0:row r="8" ht="45" customHeight="1">
      <ns0:c r="A8" s="11" t="inlineStr">
        <ns0:is>
          <ns0:t>Replit usage billing</ns0:t>
        </ns0:is>
      </ns0:c>
      <ns0:c r="B8" s="11" t="inlineStr">
        <ns0:is>
          <ns0:t>https://docs.replit.com/billing/about-usage-based-billing</ns0:t>
        </ns0:is>
      </ns0:c>
      <ns0:c r="C8" s="11" t="inlineStr">
        <ns0:is>
          <ns0:t>Compute/database/transfer depend on usage; workbook uses allowance, not quote</ns0:t>
        </ns0:is>
      </ns0:c>
    </ns0:row>
    <ns0:row r="9" ht="45" customHeight="1">
      <ns0:c r="A9" s="11" t="inlineStr">
        <ns0:is>
          <ns0:t>Claude Sonnet 4.6</ns0:t>
        </ns0:is>
      </ns0:c>
      <ns0:c r="B9" s="11" t="inlineStr">
        <ns0:is>
          <ns0:t>https://www.anthropic.com/news/claude-sonnet-4-6</ns0:t>
        </ns0:is>
      </ns0:c>
      <ns0:c r="C9" s="11" t="inlineStr">
        <ns0:is>
          <ns0:t>Prior pricing basis $3 input/$15 output per million; cost per answer is assumption</ns0:t>
        </ns0:is>
      </ns0:c>
    </ns0:row>
    <ns0:row r="10" ht="45" customHeight="1">
      <ns0:c r="A10" s="11" t="inlineStr">
        <ns0:is>
          <ns0:t>All other costs</ns0:t>
        </ns0:is>
      </ns0:c>
      <ns0:c r="B10" s="11" t="inlineStr">
        <ns0:is>
          <ns0:t>Management planning estimates</ns0:t>
        </ns0:is>
      </ns0:c>
      <ns0:c r="C10" s="11" t="inlineStr">
        <ns0:is>
          <ns0:t>Not supplier quotes: geography, hiring model and commercial rights change costs</ns0:t>
        </ns0:is>
      </ns0:c>
    </ns0:row>
  </ns0:sheetData>
  <ns0:printOptions horizontalCentered="1"/>
  <ns0:pageMargins left="0.75" right="0.75" top="1" bottom="1" header="0.5" footer="0.5"/>
  <ns0:pageSetup orientation="landscape" paperSize="8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Reels Limited</dc:creator>
  <dcterms:created xmlns:dcterms="http://purl.org/dc/terms/" xmlns:xsi="http://www.w3.org/2001/XMLSchema-instance" xsi:type="dcterms:W3CDTF">2026-09-20T18:03:59Z</dcterms:created>
  <dcterms:modified xmlns:dcterms="http://purl.org/dc/terms/" xmlns:xsi="http://www.w3.org/2001/XMLSchema-instance" xsi:type="dcterms:W3CDTF">2026-09-22T05:27:18Z</dcterms:modified>
  <cp:lastModifiedBy>Reels Limited</cp:lastModifiedBy>
</cp:coreProperties>
</file>